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유형곤\Desktop\"/>
    </mc:Choice>
  </mc:AlternateContent>
  <xr:revisionPtr revIDLastSave="0" documentId="13_ncr:1_{56A5BABC-39A5-4B83-ACB3-4DF03EC36C87}" xr6:coauthVersionLast="36" xr6:coauthVersionMax="36" xr10:uidLastSave="{00000000-0000-0000-0000-000000000000}"/>
  <bookViews>
    <workbookView xWindow="0" yWindow="0" windowWidth="28800" windowHeight="12060" activeTab="3" xr2:uid="{223A7143-A798-4A68-BDD0-4FD07E080E38}"/>
  </bookViews>
  <sheets>
    <sheet name="관리자" sheetId="1" r:id="rId1"/>
    <sheet name="지사" sheetId="2" r:id="rId2"/>
    <sheet name="배송기사(중상)" sheetId="3" r:id="rId3"/>
    <sheet name="프렌차이즈 본사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5" i="1" l="1"/>
  <c r="AI34" i="1"/>
  <c r="AI32" i="1"/>
  <c r="AI31" i="1"/>
  <c r="AI28" i="1"/>
  <c r="AI27" i="1"/>
  <c r="AI26" i="1"/>
  <c r="AI25" i="1"/>
  <c r="AI24" i="1"/>
  <c r="AI23" i="1"/>
  <c r="AH20" i="1"/>
  <c r="AH19" i="1"/>
  <c r="AH16" i="1"/>
  <c r="AH15" i="1"/>
  <c r="X17" i="1"/>
  <c r="P17" i="1"/>
  <c r="BV19" i="2"/>
  <c r="BU19" i="2"/>
  <c r="BP38" i="2"/>
  <c r="BB18" i="2"/>
  <c r="BV39" i="1"/>
  <c r="BH19" i="1"/>
  <c r="AA40" i="4"/>
  <c r="M20" i="4"/>
  <c r="Y19" i="3" l="1"/>
  <c r="X19" i="3"/>
  <c r="W19" i="3"/>
  <c r="Y18" i="3"/>
  <c r="Y6" i="3"/>
  <c r="Y7" i="3"/>
  <c r="Y8" i="3"/>
  <c r="Y9" i="3"/>
  <c r="Y10" i="3"/>
  <c r="Y11" i="3"/>
  <c r="Y12" i="3"/>
  <c r="Y13" i="3"/>
  <c r="Y14" i="3"/>
  <c r="Y15" i="3"/>
  <c r="Y16" i="3"/>
  <c r="Y17" i="3"/>
  <c r="Y5" i="3"/>
  <c r="AG19" i="2"/>
  <c r="AG18" i="2"/>
  <c r="AG16" i="2"/>
  <c r="AG15" i="2"/>
  <c r="AJ16" i="2"/>
  <c r="AL16" i="2" s="1"/>
  <c r="AJ15" i="2"/>
  <c r="AL15" i="2" s="1"/>
  <c r="X15" i="2"/>
  <c r="P15" i="2"/>
  <c r="AJ14" i="2"/>
  <c r="AL14" i="2" s="1"/>
  <c r="X14" i="2"/>
  <c r="P14" i="2"/>
  <c r="AJ13" i="2"/>
  <c r="AL13" i="2" s="1"/>
  <c r="X13" i="2"/>
  <c r="P13" i="2"/>
  <c r="AF12" i="2"/>
  <c r="X12" i="2"/>
  <c r="P12" i="2"/>
  <c r="AF11" i="2"/>
  <c r="AF10" i="2"/>
  <c r="AF9" i="2"/>
  <c r="AF8" i="2"/>
  <c r="AF7" i="2"/>
  <c r="AQ14" i="1"/>
  <c r="AQ15" i="1"/>
  <c r="AQ16" i="1"/>
  <c r="AP7" i="1"/>
  <c r="AP8" i="1"/>
  <c r="AP9" i="1"/>
  <c r="AP6" i="1"/>
  <c r="AL13" i="1"/>
  <c r="AM13" i="1"/>
  <c r="AN13" i="1"/>
  <c r="AM14" i="1"/>
  <c r="AM15" i="1"/>
  <c r="AM16" i="1"/>
  <c r="AN14" i="1"/>
  <c r="AN15" i="1"/>
  <c r="AN16" i="1"/>
  <c r="AL14" i="1"/>
  <c r="AL15" i="1"/>
  <c r="AL16" i="1"/>
  <c r="Z15" i="1"/>
  <c r="Z14" i="1"/>
  <c r="Z13" i="1"/>
  <c r="Z12" i="1"/>
  <c r="R14" i="1"/>
  <c r="R15" i="1"/>
  <c r="R13" i="1"/>
  <c r="R12" i="1"/>
  <c r="AH12" i="1"/>
  <c r="AH11" i="1"/>
  <c r="AH10" i="1"/>
  <c r="AH8" i="1"/>
  <c r="AH9" i="1"/>
  <c r="AH7" i="1"/>
  <c r="AL18" i="2" l="1"/>
  <c r="P17" i="2"/>
  <c r="X17" i="2"/>
  <c r="R17" i="1"/>
  <c r="Z17" i="1"/>
  <c r="AQ13" i="1"/>
  <c r="AQ19" i="1" s="1"/>
</calcChain>
</file>

<file path=xl/sharedStrings.xml><?xml version="1.0" encoding="utf-8"?>
<sst xmlns="http://schemas.openxmlformats.org/spreadsheetml/2006/main" count="1115" uniqueCount="209">
  <si>
    <t>입고</t>
    <phoneticPr fontId="3" type="noConversion"/>
  </si>
  <si>
    <t>출고</t>
    <phoneticPr fontId="3" type="noConversion"/>
  </si>
  <si>
    <t>지사명</t>
    <phoneticPr fontId="3" type="noConversion"/>
  </si>
  <si>
    <t>연락처</t>
    <phoneticPr fontId="3" type="noConversion"/>
  </si>
  <si>
    <t>사업자명</t>
    <phoneticPr fontId="3" type="noConversion"/>
  </si>
  <si>
    <t>식용유</t>
    <phoneticPr fontId="3" type="noConversion"/>
  </si>
  <si>
    <t>품목</t>
    <phoneticPr fontId="3" type="noConversion"/>
  </si>
  <si>
    <t>단가</t>
    <phoneticPr fontId="3" type="noConversion"/>
  </si>
  <si>
    <t>밀가루</t>
    <phoneticPr fontId="3" type="noConversion"/>
  </si>
  <si>
    <t>매장명</t>
    <phoneticPr fontId="3" type="noConversion"/>
  </si>
  <si>
    <t>관리지사</t>
    <phoneticPr fontId="3" type="noConversion"/>
  </si>
  <si>
    <t>관리중상</t>
    <phoneticPr fontId="3" type="noConversion"/>
  </si>
  <si>
    <t>점주명</t>
    <phoneticPr fontId="3" type="noConversion"/>
  </si>
  <si>
    <t>점주연락처</t>
    <phoneticPr fontId="3" type="noConversion"/>
  </si>
  <si>
    <t>주소</t>
    <phoneticPr fontId="3" type="noConversion"/>
  </si>
  <si>
    <t>기간검색</t>
    <phoneticPr fontId="3" type="noConversion"/>
  </si>
  <si>
    <t>전체</t>
    <phoneticPr fontId="3" type="noConversion"/>
  </si>
  <si>
    <t>전월</t>
    <phoneticPr fontId="3" type="noConversion"/>
  </si>
  <si>
    <t>금월</t>
    <phoneticPr fontId="3" type="noConversion"/>
  </si>
  <si>
    <t>당일</t>
    <phoneticPr fontId="3" type="noConversion"/>
  </si>
  <si>
    <t>날자별검색</t>
    <phoneticPr fontId="3" type="noConversion"/>
  </si>
  <si>
    <t>검색어입력</t>
    <phoneticPr fontId="3" type="noConversion"/>
  </si>
  <si>
    <t>지사별검색</t>
    <phoneticPr fontId="3" type="noConversion"/>
  </si>
  <si>
    <t>지사명검색</t>
    <phoneticPr fontId="3" type="noConversion"/>
  </si>
  <si>
    <t>중상명검색</t>
    <phoneticPr fontId="3" type="noConversion"/>
  </si>
  <si>
    <t>담당자명</t>
    <phoneticPr fontId="3" type="noConversion"/>
  </si>
  <si>
    <t>입고사검색</t>
    <phoneticPr fontId="3" type="noConversion"/>
  </si>
  <si>
    <t>품목검색</t>
    <phoneticPr fontId="3" type="noConversion"/>
  </si>
  <si>
    <t>돈가스짱</t>
    <phoneticPr fontId="3" type="noConversion"/>
  </si>
  <si>
    <t>남문통닭</t>
    <phoneticPr fontId="3" type="noConversion"/>
  </si>
  <si>
    <t>바보튀김</t>
    <phoneticPr fontId="3" type="noConversion"/>
  </si>
  <si>
    <t>월별제고현황</t>
    <phoneticPr fontId="3" type="noConversion"/>
  </si>
  <si>
    <t>프렌차이즈</t>
    <phoneticPr fontId="3" type="noConversion"/>
  </si>
  <si>
    <t>입고수량</t>
    <phoneticPr fontId="3" type="noConversion"/>
  </si>
  <si>
    <t>출고수량</t>
    <phoneticPr fontId="3" type="noConversion"/>
  </si>
  <si>
    <t>제고수량</t>
    <phoneticPr fontId="3" type="noConversion"/>
  </si>
  <si>
    <t>입고사</t>
    <phoneticPr fontId="3" type="noConversion"/>
  </si>
  <si>
    <t>1월</t>
    <phoneticPr fontId="3" type="noConversion"/>
  </si>
  <si>
    <t>2월</t>
    <phoneticPr fontId="3" type="noConversion"/>
  </si>
  <si>
    <t>3월</t>
    <phoneticPr fontId="3" type="noConversion"/>
  </si>
  <si>
    <t>4월</t>
  </si>
  <si>
    <t>5월</t>
  </si>
  <si>
    <t>6월</t>
  </si>
  <si>
    <t>7월</t>
    <phoneticPr fontId="3" type="noConversion"/>
  </si>
  <si>
    <t>8월</t>
    <phoneticPr fontId="3" type="noConversion"/>
  </si>
  <si>
    <t>9월</t>
  </si>
  <si>
    <t>10월</t>
  </si>
  <si>
    <t>11월</t>
  </si>
  <si>
    <t>12월</t>
  </si>
  <si>
    <t>기간별 검색</t>
    <phoneticPr fontId="3" type="noConversion"/>
  </si>
  <si>
    <t>고메스퀘어</t>
    <phoneticPr fontId="3" type="noConversion"/>
  </si>
  <si>
    <t>폐유</t>
    <phoneticPr fontId="3" type="noConversion"/>
  </si>
  <si>
    <t>프렌차이즈별검색</t>
    <phoneticPr fontId="3" type="noConversion"/>
  </si>
  <si>
    <t>웰스프링스</t>
    <phoneticPr fontId="3" type="noConversion"/>
  </si>
  <si>
    <t>경일푸드</t>
    <phoneticPr fontId="3" type="noConversion"/>
  </si>
  <si>
    <t>후참잘</t>
    <phoneticPr fontId="3" type="noConversion"/>
  </si>
  <si>
    <t>지킨마루</t>
    <phoneticPr fontId="3" type="noConversion"/>
  </si>
  <si>
    <t>충청지사</t>
    <phoneticPr fontId="3" type="noConversion"/>
  </si>
  <si>
    <t>태경바이오1</t>
    <phoneticPr fontId="3" type="noConversion"/>
  </si>
  <si>
    <t>수량입력</t>
    <phoneticPr fontId="3" type="noConversion"/>
  </si>
  <si>
    <t>출고관리</t>
    <phoneticPr fontId="3" type="noConversion"/>
  </si>
  <si>
    <t>입고관리</t>
    <phoneticPr fontId="3" type="noConversion"/>
  </si>
  <si>
    <t>출고(클릭)</t>
    <phoneticPr fontId="3" type="noConversion"/>
  </si>
  <si>
    <t xml:space="preserve">  </t>
    <phoneticPr fontId="3" type="noConversion"/>
  </si>
  <si>
    <t>입고(클릭)</t>
    <phoneticPr fontId="3" type="noConversion"/>
  </si>
  <si>
    <t>출고일  (지정없으면 당일)</t>
    <phoneticPr fontId="3" type="noConversion"/>
  </si>
  <si>
    <t>합계</t>
    <phoneticPr fontId="3" type="noConversion"/>
  </si>
  <si>
    <t>품목선택</t>
    <phoneticPr fontId="3" type="noConversion"/>
  </si>
  <si>
    <t>출고합계</t>
    <phoneticPr fontId="3" type="noConversion"/>
  </si>
  <si>
    <t>프렌차이즈검색</t>
    <phoneticPr fontId="3" type="noConversion"/>
  </si>
  <si>
    <t>웰스프링</t>
    <phoneticPr fontId="3" type="noConversion"/>
  </si>
  <si>
    <t>단가(숫자입력)</t>
    <phoneticPr fontId="3" type="noConversion"/>
  </si>
  <si>
    <t>금액(숫자입력)</t>
    <phoneticPr fontId="3" type="noConversion"/>
  </si>
  <si>
    <t>입고일  (지정없으면 당일)</t>
    <phoneticPr fontId="3" type="noConversion"/>
  </si>
  <si>
    <t>입고액합계</t>
    <phoneticPr fontId="3" type="noConversion"/>
  </si>
  <si>
    <t>관리자id</t>
    <phoneticPr fontId="3" type="noConversion"/>
  </si>
  <si>
    <t>지사id</t>
    <phoneticPr fontId="3" type="noConversion"/>
  </si>
  <si>
    <t>중상id</t>
    <phoneticPr fontId="3" type="noConversion"/>
  </si>
  <si>
    <t>프랜차이즈등록관리</t>
    <phoneticPr fontId="3" type="noConversion"/>
  </si>
  <si>
    <t>2달이상 출고x</t>
    <phoneticPr fontId="3" type="noConversion"/>
  </si>
  <si>
    <t>미사용매장</t>
    <phoneticPr fontId="3" type="noConversion"/>
  </si>
  <si>
    <t>폐유미수거매장</t>
    <phoneticPr fontId="3" type="noConversion"/>
  </si>
  <si>
    <t>폐업매장</t>
    <phoneticPr fontId="3" type="noConversion"/>
  </si>
  <si>
    <t>담당중상</t>
    <phoneticPr fontId="3" type="noConversion"/>
  </si>
  <si>
    <t>치킨메니아</t>
    <phoneticPr fontId="3" type="noConversion"/>
  </si>
  <si>
    <t>동작점</t>
    <phoneticPr fontId="3" type="noConversion"/>
  </si>
  <si>
    <t>박종익</t>
    <phoneticPr fontId="3" type="noConversion"/>
  </si>
  <si>
    <t>등록하기(클릭)</t>
    <phoneticPr fontId="3" type="noConversion"/>
  </si>
  <si>
    <t>한글입력</t>
    <phoneticPr fontId="3" type="noConversion"/>
  </si>
  <si>
    <t>지사카테고리 선택</t>
    <phoneticPr fontId="3" type="noConversion"/>
  </si>
  <si>
    <t>중상카테고리 선택</t>
    <phoneticPr fontId="3" type="noConversion"/>
  </si>
  <si>
    <t>한글입역</t>
    <phoneticPr fontId="3" type="noConversion"/>
  </si>
  <si>
    <t>숫자입력</t>
    <phoneticPr fontId="3" type="noConversion"/>
  </si>
  <si>
    <t>강서점</t>
    <phoneticPr fontId="3" type="noConversion"/>
  </si>
  <si>
    <t>고래치킨</t>
    <phoneticPr fontId="3" type="noConversion"/>
  </si>
  <si>
    <t>만수점</t>
    <phoneticPr fontId="3" type="noConversion"/>
  </si>
  <si>
    <t>서창점</t>
    <phoneticPr fontId="3" type="noConversion"/>
  </si>
  <si>
    <t>정준원</t>
    <phoneticPr fontId="3" type="noConversion"/>
  </si>
  <si>
    <t>●</t>
    <phoneticPr fontId="3" type="noConversion"/>
  </si>
  <si>
    <t>프렌차이즈(프차별보기)</t>
    <phoneticPr fontId="3" type="noConversion"/>
  </si>
  <si>
    <t>낭만떡복이</t>
    <phoneticPr fontId="3" type="noConversion"/>
  </si>
  <si>
    <t>광화점</t>
    <phoneticPr fontId="3" type="noConversion"/>
  </si>
  <si>
    <t>옥련점</t>
    <phoneticPr fontId="3" type="noConversion"/>
  </si>
  <si>
    <t>성남지사</t>
    <phoneticPr fontId="3" type="noConversion"/>
  </si>
  <si>
    <t>김태수</t>
    <phoneticPr fontId="3" type="noConversion"/>
  </si>
  <si>
    <t>윤상건(이노바이오)</t>
    <phoneticPr fontId="3" type="noConversion"/>
  </si>
  <si>
    <t>박주영(한국바이오)</t>
    <phoneticPr fontId="3" type="noConversion"/>
  </si>
  <si>
    <t>중상 월별검색</t>
    <phoneticPr fontId="3" type="noConversion"/>
  </si>
  <si>
    <t>입고사 월별검색</t>
    <phoneticPr fontId="3" type="noConversion"/>
  </si>
  <si>
    <t>김판근(멍멍바이오)</t>
    <phoneticPr fontId="3" type="noConversion"/>
  </si>
  <si>
    <t>배성기(쩔뚝유지)</t>
    <phoneticPr fontId="3" type="noConversion"/>
  </si>
  <si>
    <t>ERP등록</t>
    <phoneticPr fontId="3" type="noConversion"/>
  </si>
  <si>
    <t>ERP미등록</t>
    <phoneticPr fontId="3" type="noConversion"/>
  </si>
  <si>
    <t>ERP 등록수량 체크</t>
    <phoneticPr fontId="3" type="noConversion"/>
  </si>
  <si>
    <t>주별 ERP 등록수량 체크</t>
    <phoneticPr fontId="3" type="noConversion"/>
  </si>
  <si>
    <t>기간별검색</t>
    <phoneticPr fontId="3" type="noConversion"/>
  </si>
  <si>
    <t>전체제고수량</t>
    <phoneticPr fontId="3" type="noConversion"/>
  </si>
  <si>
    <t>품목별검색</t>
    <phoneticPr fontId="3" type="noConversion"/>
  </si>
  <si>
    <t>전체제고금액</t>
    <phoneticPr fontId="3" type="noConversion"/>
  </si>
  <si>
    <t>지사별입금액</t>
    <phoneticPr fontId="3" type="noConversion"/>
  </si>
  <si>
    <t>지사별현미수</t>
    <phoneticPr fontId="3" type="noConversion"/>
  </si>
  <si>
    <t>미수합계</t>
    <phoneticPr fontId="3" type="noConversion"/>
  </si>
  <si>
    <t>전체 제고현황 및 미수금 관리</t>
    <phoneticPr fontId="3" type="noConversion"/>
  </si>
  <si>
    <t>입금금액 입력</t>
    <phoneticPr fontId="3" type="noConversion"/>
  </si>
  <si>
    <t>지사선택</t>
    <phoneticPr fontId="3" type="noConversion"/>
  </si>
  <si>
    <t>입금완료(클릭)</t>
    <phoneticPr fontId="3" type="noConversion"/>
  </si>
  <si>
    <t>윤상건</t>
    <phoneticPr fontId="3" type="noConversion"/>
  </si>
  <si>
    <t>태경바이오</t>
    <phoneticPr fontId="3" type="noConversion"/>
  </si>
  <si>
    <t>현미수</t>
    <phoneticPr fontId="3" type="noConversion"/>
  </si>
  <si>
    <t>폐업매장등록</t>
    <phoneticPr fontId="3" type="noConversion"/>
  </si>
  <si>
    <t>반품시 - 입력</t>
    <phoneticPr fontId="3" type="noConversion"/>
  </si>
  <si>
    <t>날자(클릭달력)</t>
    <phoneticPr fontId="3" type="noConversion"/>
  </si>
  <si>
    <t>완료(클릭)</t>
    <phoneticPr fontId="3" type="noConversion"/>
  </si>
  <si>
    <t>바보치킨</t>
    <phoneticPr fontId="3" type="noConversion"/>
  </si>
  <si>
    <t>바보떡복이</t>
    <phoneticPr fontId="3" type="noConversion"/>
  </si>
  <si>
    <t>땡땡점</t>
    <phoneticPr fontId="3" type="noConversion"/>
  </si>
  <si>
    <t>ERP 등록</t>
    <phoneticPr fontId="3" type="noConversion"/>
  </si>
  <si>
    <t>날자별 보기 (클릭달력)</t>
    <phoneticPr fontId="3" type="noConversion"/>
  </si>
  <si>
    <t>미등록</t>
    <phoneticPr fontId="3" type="noConversion"/>
  </si>
  <si>
    <t>미등록 수량 볼수있게 표처럼 보이게</t>
    <phoneticPr fontId="3" type="noConversion"/>
  </si>
  <si>
    <t>담당자</t>
    <phoneticPr fontId="3" type="noConversion"/>
  </si>
  <si>
    <t>담당지사</t>
    <phoneticPr fontId="3" type="noConversion"/>
  </si>
  <si>
    <t>1주</t>
    <phoneticPr fontId="3" type="noConversion"/>
  </si>
  <si>
    <t>2주</t>
    <phoneticPr fontId="3" type="noConversion"/>
  </si>
  <si>
    <t>3주</t>
    <phoneticPr fontId="3" type="noConversion"/>
  </si>
  <si>
    <t>4주</t>
    <phoneticPr fontId="3" type="noConversion"/>
  </si>
  <si>
    <t>5주</t>
    <phoneticPr fontId="3" type="noConversion"/>
  </si>
  <si>
    <t>월별 보기 (클릭달력)</t>
    <phoneticPr fontId="3" type="noConversion"/>
  </si>
  <si>
    <t>입고</t>
    <phoneticPr fontId="3" type="noConversion"/>
  </si>
  <si>
    <t>합계</t>
    <phoneticPr fontId="3" type="noConversion"/>
  </si>
  <si>
    <t>프렌차이즈명</t>
    <phoneticPr fontId="3" type="noConversion"/>
  </si>
  <si>
    <t>월마감자료</t>
    <phoneticPr fontId="3" type="noConversion"/>
  </si>
  <si>
    <t>폐유</t>
    <phoneticPr fontId="3" type="noConversion"/>
  </si>
  <si>
    <t>1월</t>
    <phoneticPr fontId="3" type="noConversion"/>
  </si>
  <si>
    <t>2월</t>
    <phoneticPr fontId="3" type="noConversion"/>
  </si>
  <si>
    <t>3월</t>
  </si>
  <si>
    <t>7월</t>
  </si>
  <si>
    <t>8월</t>
  </si>
  <si>
    <t>기간검색 (클릭달력)</t>
    <phoneticPr fontId="3" type="noConversion"/>
  </si>
  <si>
    <t>김동욱</t>
    <phoneticPr fontId="3" type="noConversion"/>
  </si>
  <si>
    <t>박주영</t>
    <phoneticPr fontId="3" type="noConversion"/>
  </si>
  <si>
    <t>이상만</t>
    <phoneticPr fontId="3" type="noConversion"/>
  </si>
  <si>
    <t>우리형</t>
    <phoneticPr fontId="3" type="noConversion"/>
  </si>
  <si>
    <t>우리누나</t>
    <phoneticPr fontId="3" type="noConversion"/>
  </si>
  <si>
    <t>밀가루출고</t>
    <phoneticPr fontId="3" type="noConversion"/>
  </si>
  <si>
    <t>프렌차이즈명검색</t>
    <phoneticPr fontId="3" type="noConversion"/>
  </si>
  <si>
    <t>담당자검색</t>
    <phoneticPr fontId="3" type="noConversion"/>
  </si>
  <si>
    <t>날자별 출고량 검색</t>
    <phoneticPr fontId="3" type="noConversion"/>
  </si>
  <si>
    <t>식용유출고</t>
    <phoneticPr fontId="3" type="noConversion"/>
  </si>
  <si>
    <t>거래처등록 관리</t>
    <phoneticPr fontId="3" type="noConversion"/>
  </si>
  <si>
    <t>담당자성함</t>
    <phoneticPr fontId="3" type="noConversion"/>
  </si>
  <si>
    <t>회사명</t>
    <phoneticPr fontId="3" type="noConversion"/>
  </si>
  <si>
    <t>소속지사선택</t>
    <phoneticPr fontId="3" type="noConversion"/>
  </si>
  <si>
    <t>지사관리(업체리스트보기)</t>
    <phoneticPr fontId="3" type="noConversion"/>
  </si>
  <si>
    <t>중상관리(담당자리스트보기)</t>
    <phoneticPr fontId="3" type="noConversion"/>
  </si>
  <si>
    <t>제품입고사관리(업체리스트보기)</t>
    <phoneticPr fontId="3" type="noConversion"/>
  </si>
  <si>
    <t>단가차등이유로 폐유품목</t>
    <phoneticPr fontId="3" type="noConversion"/>
  </si>
  <si>
    <t>폐유수량 소수점까지 입력</t>
    <phoneticPr fontId="3" type="noConversion"/>
  </si>
  <si>
    <t>제품입력생성</t>
    <phoneticPr fontId="3" type="noConversion"/>
  </si>
  <si>
    <t>제품명(한글입력)</t>
    <phoneticPr fontId="3" type="noConversion"/>
  </si>
  <si>
    <t>프렌차이즈 선택</t>
    <phoneticPr fontId="3" type="noConversion"/>
  </si>
  <si>
    <t>프랜차이즈 등록수정관리</t>
    <phoneticPr fontId="3" type="noConversion"/>
  </si>
  <si>
    <t>지사 등록변경</t>
    <phoneticPr fontId="3" type="noConversion"/>
  </si>
  <si>
    <t>제품입고업체 등록변경</t>
    <phoneticPr fontId="3" type="noConversion"/>
  </si>
  <si>
    <t>배송담당자 등록변경</t>
    <phoneticPr fontId="3" type="noConversion"/>
  </si>
  <si>
    <t>담당자 등록 관리</t>
    <phoneticPr fontId="3" type="noConversion"/>
  </si>
  <si>
    <t>변경하기(클릭)</t>
    <phoneticPr fontId="3" type="noConversion"/>
  </si>
  <si>
    <t>생성하기 변경하기</t>
    <phoneticPr fontId="3" type="noConversion"/>
  </si>
  <si>
    <t>제품</t>
    <phoneticPr fontId="3" type="noConversion"/>
  </si>
  <si>
    <t>검색한 데이터 출력은 개발자님이 보기좋게 부탁드려요</t>
    <phoneticPr fontId="3" type="noConversion"/>
  </si>
  <si>
    <t>배송기사선택</t>
    <phoneticPr fontId="3" type="noConversion"/>
  </si>
  <si>
    <t>하단은 출고입력 수정하기 입고일로 검색하여 데이터수정</t>
    <phoneticPr fontId="3" type="noConversion"/>
  </si>
  <si>
    <t>하단은 입고입력 수정하기 출고일로 검색하여 데이터수정</t>
    <phoneticPr fontId="3" type="noConversion"/>
  </si>
  <si>
    <t>월별이나 기간별 데이터산출 되도록 검색</t>
    <phoneticPr fontId="3" type="noConversion"/>
  </si>
  <si>
    <t>프렌차이즈별검색보기</t>
    <phoneticPr fontId="3" type="noConversion"/>
  </si>
  <si>
    <t>입고업체</t>
    <phoneticPr fontId="3" type="noConversion"/>
  </si>
  <si>
    <t>데이터출력 되는 부분들은 엑셀 변환하기가 가능하면 좋겠습니다.</t>
    <phoneticPr fontId="3" type="noConversion"/>
  </si>
  <si>
    <t>입금액(관리자입력)</t>
    <phoneticPr fontId="3" type="noConversion"/>
  </si>
  <si>
    <t>일별 검색 (클릭달력)</t>
    <phoneticPr fontId="3" type="noConversion"/>
  </si>
  <si>
    <t>악성미수매장</t>
    <phoneticPr fontId="3" type="noConversion"/>
  </si>
  <si>
    <t>악성미수매장 등록</t>
    <phoneticPr fontId="3" type="noConversion"/>
  </si>
  <si>
    <t>등록하기 수정하기(클릭)</t>
    <phoneticPr fontId="3" type="noConversion"/>
  </si>
  <si>
    <t>입고가 없는 매장 데이터 필터링후 표시되도록</t>
    <phoneticPr fontId="3" type="noConversion"/>
  </si>
  <si>
    <t>2달이상 입고x</t>
    <phoneticPr fontId="3" type="noConversion"/>
  </si>
  <si>
    <t>지속적으로 입고가 없는 매장 데이터 필터링후 표시되도록</t>
    <phoneticPr fontId="3" type="noConversion"/>
  </si>
  <si>
    <t>폐유등록이 지속적으로 등록되지 않는 매장 데이터 필터링후 표시되도록</t>
    <phoneticPr fontId="3" type="noConversion"/>
  </si>
  <si>
    <t>컴플레인 매장관리</t>
    <phoneticPr fontId="3" type="noConversion"/>
  </si>
  <si>
    <t>붉은점이 표시되는 매장만 필터터링되서 출력되는 페이지</t>
    <phoneticPr fontId="3" type="noConversion"/>
  </si>
  <si>
    <t>배송담당자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</si>
</sst>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41" fontId="0" fillId="7" borderId="0" xfId="1" applyFont="1" applyFill="1">
      <alignment vertical="center"/>
    </xf>
    <xf numFmtId="41" fontId="0" fillId="0" borderId="0" xfId="1" applyFont="1" applyFill="1">
      <alignment vertical="center"/>
    </xf>
    <xf numFmtId="41" fontId="0" fillId="0" borderId="0" xfId="1" applyFont="1">
      <alignment vertical="center"/>
    </xf>
    <xf numFmtId="41" fontId="0" fillId="4" borderId="0" xfId="1" applyFont="1" applyFill="1">
      <alignment vertical="center"/>
    </xf>
    <xf numFmtId="41" fontId="0" fillId="5" borderId="0" xfId="1" applyFont="1" applyFill="1">
      <alignment vertical="center"/>
    </xf>
    <xf numFmtId="41" fontId="0" fillId="8" borderId="1" xfId="1" applyFont="1" applyFill="1" applyBorder="1">
      <alignment vertical="center"/>
    </xf>
    <xf numFmtId="41" fontId="0" fillId="8" borderId="0" xfId="1" applyFont="1" applyFill="1">
      <alignment vertical="center"/>
    </xf>
    <xf numFmtId="41" fontId="0" fillId="5" borderId="1" xfId="1" applyFont="1" applyFill="1" applyBorder="1">
      <alignment vertical="center"/>
    </xf>
    <xf numFmtId="41" fontId="0" fillId="9" borderId="1" xfId="1" applyFont="1" applyFill="1" applyBorder="1">
      <alignment vertical="center"/>
    </xf>
    <xf numFmtId="41" fontId="0" fillId="10" borderId="1" xfId="1" applyFont="1" applyFill="1" applyBorder="1">
      <alignment vertical="center"/>
    </xf>
    <xf numFmtId="41" fontId="0" fillId="0" borderId="1" xfId="1" applyFont="1" applyFill="1" applyBorder="1">
      <alignment vertical="center"/>
    </xf>
    <xf numFmtId="41" fontId="0" fillId="11" borderId="1" xfId="1" applyFont="1" applyFill="1" applyBorder="1">
      <alignment vertical="center"/>
    </xf>
    <xf numFmtId="41" fontId="0" fillId="6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 applyAlignment="1">
      <alignment horizontal="center" vertical="center"/>
    </xf>
    <xf numFmtId="41" fontId="2" fillId="0" borderId="0" xfId="1" applyFont="1">
      <alignment vertical="center"/>
    </xf>
    <xf numFmtId="41" fontId="0" fillId="0" borderId="0" xfId="1" applyFont="1" applyFill="1" applyBorder="1">
      <alignment vertical="center"/>
    </xf>
    <xf numFmtId="41" fontId="0" fillId="0" borderId="0" xfId="1" applyFont="1" applyFill="1" applyBorder="1" applyAlignment="1">
      <alignment horizontal="center" vertical="center"/>
    </xf>
    <xf numFmtId="41" fontId="0" fillId="3" borderId="1" xfId="1" applyFont="1" applyFill="1" applyBorder="1">
      <alignment vertical="center"/>
    </xf>
    <xf numFmtId="41" fontId="0" fillId="12" borderId="1" xfId="1" applyFont="1" applyFill="1" applyBorder="1">
      <alignment vertical="center"/>
    </xf>
    <xf numFmtId="41" fontId="0" fillId="12" borderId="0" xfId="1" applyFont="1" applyFill="1">
      <alignment vertical="center"/>
    </xf>
    <xf numFmtId="41" fontId="0" fillId="7" borderId="0" xfId="1" applyFont="1" applyFill="1" applyAlignment="1">
      <alignment vertical="center"/>
    </xf>
    <xf numFmtId="41" fontId="4" fillId="0" borderId="1" xfId="1" applyFont="1" applyBorder="1" applyAlignment="1">
      <alignment horizontal="center" vertical="center"/>
    </xf>
    <xf numFmtId="41" fontId="0" fillId="0" borderId="1" xfId="1" applyFont="1" applyBorder="1" applyAlignment="1">
      <alignment vertical="center"/>
    </xf>
    <xf numFmtId="41" fontId="2" fillId="0" borderId="1" xfId="1" applyFont="1" applyBorder="1">
      <alignment vertical="center"/>
    </xf>
    <xf numFmtId="41" fontId="0" fillId="0" borderId="5" xfId="1" applyFont="1" applyFill="1" applyBorder="1">
      <alignment vertical="center"/>
    </xf>
    <xf numFmtId="41" fontId="0" fillId="0" borderId="3" xfId="1" applyFont="1" applyBorder="1">
      <alignment vertical="center"/>
    </xf>
    <xf numFmtId="41" fontId="0" fillId="2" borderId="1" xfId="1" applyFont="1" applyFill="1" applyBorder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13" borderId="1" xfId="1" applyFont="1" applyFill="1" applyBorder="1">
      <alignment vertical="center"/>
    </xf>
    <xf numFmtId="41" fontId="0" fillId="5" borderId="6" xfId="1" applyFont="1" applyFill="1" applyBorder="1" applyAlignment="1">
      <alignment vertical="center"/>
    </xf>
    <xf numFmtId="41" fontId="0" fillId="5" borderId="6" xfId="1" applyFont="1" applyFill="1" applyBorder="1">
      <alignment vertical="center"/>
    </xf>
    <xf numFmtId="14" fontId="0" fillId="13" borderId="1" xfId="0" applyNumberFormat="1" applyFill="1" applyBorder="1">
      <alignment vertical="center"/>
    </xf>
    <xf numFmtId="0" fontId="0" fillId="12" borderId="1" xfId="0" applyFill="1" applyBorder="1">
      <alignment vertical="center"/>
    </xf>
    <xf numFmtId="41" fontId="0" fillId="12" borderId="1" xfId="0" applyNumberFormat="1" applyFill="1" applyBorder="1">
      <alignment vertical="center"/>
    </xf>
    <xf numFmtId="0" fontId="0" fillId="7" borderId="0" xfId="0" applyFill="1">
      <alignment vertical="center"/>
    </xf>
    <xf numFmtId="41" fontId="0" fillId="14" borderId="0" xfId="1" applyFont="1" applyFill="1">
      <alignment vertical="center"/>
    </xf>
    <xf numFmtId="41" fontId="5" fillId="3" borderId="1" xfId="1" applyFont="1" applyFill="1" applyBorder="1">
      <alignment vertical="center"/>
    </xf>
    <xf numFmtId="41" fontId="6" fillId="3" borderId="1" xfId="1" applyFont="1" applyFill="1" applyBorder="1">
      <alignment vertical="center"/>
    </xf>
    <xf numFmtId="41" fontId="5" fillId="5" borderId="0" xfId="1" applyFont="1" applyFill="1">
      <alignment vertical="center"/>
    </xf>
    <xf numFmtId="41" fontId="7" fillId="5" borderId="0" xfId="1" applyFont="1" applyFill="1">
      <alignment vertical="center"/>
    </xf>
    <xf numFmtId="41" fontId="7" fillId="3" borderId="1" xfId="1" applyFont="1" applyFill="1" applyBorder="1">
      <alignment vertical="center"/>
    </xf>
    <xf numFmtId="41" fontId="8" fillId="3" borderId="1" xfId="1" applyFont="1" applyFill="1" applyBorder="1">
      <alignment vertical="center"/>
    </xf>
    <xf numFmtId="41" fontId="7" fillId="12" borderId="1" xfId="1" applyFont="1" applyFill="1" applyBorder="1">
      <alignment vertical="center"/>
    </xf>
    <xf numFmtId="41" fontId="8" fillId="12" borderId="1" xfId="1" applyFont="1" applyFill="1" applyBorder="1">
      <alignment vertical="center"/>
    </xf>
    <xf numFmtId="41" fontId="5" fillId="12" borderId="1" xfId="1" applyFont="1" applyFill="1" applyBorder="1">
      <alignment vertical="center"/>
    </xf>
    <xf numFmtId="41" fontId="6" fillId="12" borderId="1" xfId="1" applyFont="1" applyFill="1" applyBorder="1">
      <alignment vertical="center"/>
    </xf>
    <xf numFmtId="41" fontId="0" fillId="0" borderId="0" xfId="1" applyFont="1" applyBorder="1">
      <alignment vertical="center"/>
    </xf>
    <xf numFmtId="41" fontId="0" fillId="0" borderId="0" xfId="1" applyFont="1" applyBorder="1" applyAlignment="1">
      <alignment vertical="center"/>
    </xf>
    <xf numFmtId="41" fontId="4" fillId="0" borderId="0" xfId="1" applyFont="1" applyBorder="1" applyAlignment="1">
      <alignment horizontal="center" vertical="center"/>
    </xf>
    <xf numFmtId="41" fontId="0" fillId="0" borderId="0" xfId="1" applyFont="1" applyAlignment="1">
      <alignment vertical="center"/>
    </xf>
    <xf numFmtId="41" fontId="0" fillId="3" borderId="0" xfId="1" applyFont="1" applyFill="1">
      <alignment vertical="center"/>
    </xf>
    <xf numFmtId="41" fontId="0" fillId="10" borderId="1" xfId="1" applyFont="1" applyFill="1" applyBorder="1" applyAlignment="1">
      <alignment horizontal="center" vertical="center"/>
    </xf>
    <xf numFmtId="41" fontId="0" fillId="6" borderId="1" xfId="1" applyFont="1" applyFill="1" applyBorder="1" applyAlignment="1">
      <alignment horizontal="center" vertical="center"/>
    </xf>
    <xf numFmtId="41" fontId="0" fillId="14" borderId="0" xfId="1" applyFont="1" applyFill="1" applyAlignment="1">
      <alignment horizontal="center" vertical="center"/>
    </xf>
    <xf numFmtId="41" fontId="0" fillId="0" borderId="3" xfId="1" applyFont="1" applyFill="1" applyBorder="1" applyAlignment="1">
      <alignment horizontal="center" vertical="center"/>
    </xf>
    <xf numFmtId="41" fontId="0" fillId="0" borderId="2" xfId="1" applyFont="1" applyFill="1" applyBorder="1" applyAlignment="1">
      <alignment horizontal="center" vertical="center"/>
    </xf>
    <xf numFmtId="41" fontId="0" fillId="12" borderId="1" xfId="1" applyFont="1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41" fontId="0" fillId="3" borderId="0" xfId="1" applyFont="1" applyFill="1" applyAlignment="1">
      <alignment horizontal="center" vertical="center"/>
    </xf>
    <xf numFmtId="41" fontId="0" fillId="5" borderId="1" xfId="1" applyFont="1" applyFill="1" applyBorder="1" applyAlignment="1">
      <alignment horizontal="center" vertical="center"/>
    </xf>
    <xf numFmtId="14" fontId="0" fillId="10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538E-7D7A-4AC2-9828-5E1F66511AC7}">
  <dimension ref="A1:BV44"/>
  <sheetViews>
    <sheetView zoomScale="115" zoomScaleNormal="115" workbookViewId="0">
      <selection activeCell="A33" sqref="A33"/>
    </sheetView>
  </sheetViews>
  <sheetFormatPr defaultRowHeight="16.5" x14ac:dyDescent="0.3"/>
  <cols>
    <col min="1" max="1" width="21.25" style="3" customWidth="1"/>
    <col min="2" max="2" width="3.375" style="2" customWidth="1"/>
    <col min="3" max="3" width="21.75" style="3" bestFit="1" customWidth="1"/>
    <col min="4" max="4" width="8.625" style="3" bestFit="1" customWidth="1"/>
    <col min="5" max="5" width="13.75" style="3" bestFit="1" customWidth="1"/>
    <col min="6" max="6" width="10.5" style="3" bestFit="1" customWidth="1"/>
    <col min="7" max="7" width="15.375" style="3" bestFit="1" customWidth="1"/>
    <col min="8" max="8" width="12.625" style="3" bestFit="1" customWidth="1"/>
    <col min="9" max="9" width="16.75" style="3" bestFit="1" customWidth="1"/>
    <col min="10" max="10" width="10.5" style="3" bestFit="1" customWidth="1"/>
    <col min="11" max="11" width="3.375" style="3" customWidth="1"/>
    <col min="12" max="12" width="20.25" style="3" bestFit="1" customWidth="1"/>
    <col min="13" max="13" width="2.75" style="2" customWidth="1"/>
    <col min="14" max="14" width="14" style="2" customWidth="1"/>
    <col min="15" max="15" width="10.375" style="3" customWidth="1"/>
    <col min="16" max="16" width="9" style="3"/>
    <col min="17" max="17" width="10.5" style="3" customWidth="1"/>
    <col min="18" max="18" width="11.875" style="3" bestFit="1" customWidth="1"/>
    <col min="19" max="19" width="9.875" style="3" customWidth="1"/>
    <col min="20" max="20" width="14.25" style="3" customWidth="1"/>
    <col min="21" max="21" width="2.75" style="17" customWidth="1"/>
    <col min="22" max="23" width="12.625" style="3" customWidth="1"/>
    <col min="24" max="24" width="8.625" style="3" bestFit="1" customWidth="1"/>
    <col min="25" max="25" width="13" style="3" customWidth="1"/>
    <col min="26" max="26" width="13" style="3" bestFit="1" customWidth="1"/>
    <col min="27" max="27" width="7.5" style="3" customWidth="1"/>
    <col min="28" max="28" width="16.25" style="3" customWidth="1"/>
    <col min="29" max="29" width="2.75" style="17" customWidth="1"/>
    <col min="30" max="30" width="23" style="2" bestFit="1" customWidth="1"/>
    <col min="31" max="32" width="11" style="2" customWidth="1"/>
    <col min="33" max="33" width="11.875" style="2" customWidth="1"/>
    <col min="34" max="34" width="11" style="2" customWidth="1"/>
    <col min="35" max="35" width="11.75" style="2" customWidth="1"/>
    <col min="36" max="36" width="2.75" style="17" customWidth="1"/>
    <col min="37" max="37" width="16.75" style="3" bestFit="1" customWidth="1"/>
    <col min="38" max="38" width="12.625" style="2" bestFit="1" customWidth="1"/>
    <col min="39" max="39" width="12.625" style="3" bestFit="1" customWidth="1"/>
    <col min="40" max="40" width="14.25" style="3" customWidth="1"/>
    <col min="41" max="41" width="14.75" style="3" bestFit="1" customWidth="1"/>
    <col min="42" max="42" width="14.625" style="3" customWidth="1"/>
    <col min="43" max="43" width="14.75" style="3" bestFit="1" customWidth="1"/>
    <col min="44" max="44" width="2.5" style="3" customWidth="1"/>
    <col min="45" max="45" width="12.625" style="3" bestFit="1" customWidth="1"/>
    <col min="46" max="46" width="10.5" style="3" bestFit="1" customWidth="1"/>
    <col min="47" max="47" width="14.75" style="3" bestFit="1" customWidth="1"/>
    <col min="48" max="16384" width="9" style="3"/>
  </cols>
  <sheetData>
    <row r="1" spans="1:74" x14ac:dyDescent="0.3">
      <c r="A1" s="1" t="s">
        <v>169</v>
      </c>
      <c r="C1" s="1" t="s">
        <v>181</v>
      </c>
      <c r="D1" s="1"/>
      <c r="E1" s="1"/>
      <c r="F1" s="1"/>
      <c r="G1" s="1"/>
      <c r="H1" s="1"/>
      <c r="I1" s="1"/>
      <c r="J1" s="1"/>
      <c r="K1" s="2"/>
      <c r="L1" s="1" t="s">
        <v>178</v>
      </c>
      <c r="N1" s="1" t="s">
        <v>60</v>
      </c>
      <c r="O1" s="1"/>
      <c r="P1" s="1"/>
      <c r="Q1" s="1"/>
      <c r="R1" s="1"/>
      <c r="S1" s="1"/>
      <c r="T1" s="1"/>
      <c r="V1" s="1" t="s">
        <v>61</v>
      </c>
      <c r="W1" s="1"/>
      <c r="X1" s="1"/>
      <c r="Y1" s="1"/>
      <c r="Z1" s="1"/>
      <c r="AA1" s="1"/>
      <c r="AB1" s="1"/>
      <c r="AD1" s="1" t="s">
        <v>31</v>
      </c>
      <c r="AE1" s="1"/>
      <c r="AF1" s="1"/>
      <c r="AG1" s="1"/>
      <c r="AH1" s="1"/>
      <c r="AI1" s="1"/>
      <c r="AK1" s="22" t="s">
        <v>122</v>
      </c>
      <c r="AL1" s="22"/>
      <c r="AM1" s="22"/>
      <c r="AN1" s="22"/>
      <c r="AO1" s="22"/>
      <c r="AP1" s="22"/>
      <c r="AQ1" s="22"/>
      <c r="AS1" s="53" t="s">
        <v>114</v>
      </c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</row>
    <row r="2" spans="1:74" x14ac:dyDescent="0.3">
      <c r="A2" s="4" t="s">
        <v>182</v>
      </c>
      <c r="C2" s="21" t="s">
        <v>150</v>
      </c>
      <c r="D2" s="21" t="s">
        <v>88</v>
      </c>
      <c r="E2" s="21"/>
      <c r="F2" s="21"/>
      <c r="G2" s="21"/>
      <c r="L2" s="38" t="s">
        <v>5</v>
      </c>
      <c r="N2" s="13" t="s">
        <v>188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V2" s="13" t="s">
        <v>188</v>
      </c>
      <c r="W2" s="13" t="s">
        <v>15</v>
      </c>
      <c r="X2" s="13" t="s">
        <v>16</v>
      </c>
      <c r="Y2" s="13" t="s">
        <v>17</v>
      </c>
      <c r="Z2" s="13" t="s">
        <v>18</v>
      </c>
      <c r="AA2" s="13" t="s">
        <v>19</v>
      </c>
      <c r="AB2" s="13" t="s">
        <v>20</v>
      </c>
      <c r="AD2" s="6" t="s">
        <v>37</v>
      </c>
      <c r="AE2" s="6" t="s">
        <v>38</v>
      </c>
      <c r="AF2" s="6" t="s">
        <v>39</v>
      </c>
      <c r="AG2" s="6" t="s">
        <v>40</v>
      </c>
      <c r="AH2" s="6" t="s">
        <v>41</v>
      </c>
      <c r="AI2" s="6" t="s">
        <v>42</v>
      </c>
      <c r="AK2" s="3" t="s">
        <v>115</v>
      </c>
      <c r="AL2" s="3" t="s">
        <v>117</v>
      </c>
      <c r="AM2" s="3" t="s">
        <v>22</v>
      </c>
      <c r="AS2" s="3" t="s">
        <v>147</v>
      </c>
      <c r="BM2"/>
      <c r="BN2"/>
      <c r="BO2"/>
      <c r="BP2"/>
      <c r="BQ2"/>
      <c r="BR2"/>
      <c r="BS2"/>
      <c r="BT2"/>
      <c r="BU2"/>
      <c r="BV2"/>
    </row>
    <row r="3" spans="1:74" x14ac:dyDescent="0.3">
      <c r="A3" s="4" t="s">
        <v>2</v>
      </c>
      <c r="C3" s="21" t="s">
        <v>9</v>
      </c>
      <c r="D3" s="21" t="s">
        <v>88</v>
      </c>
      <c r="E3" s="21"/>
      <c r="F3" s="21"/>
      <c r="G3" s="21"/>
      <c r="L3" s="41" t="s">
        <v>180</v>
      </c>
      <c r="N3" s="13" t="s">
        <v>5</v>
      </c>
      <c r="O3" s="13" t="s">
        <v>69</v>
      </c>
      <c r="P3" s="13"/>
      <c r="Q3" s="13" t="s">
        <v>21</v>
      </c>
      <c r="R3" s="13"/>
      <c r="S3" s="13"/>
      <c r="T3" s="13"/>
      <c r="V3" s="13" t="s">
        <v>5</v>
      </c>
      <c r="W3" s="13" t="s">
        <v>26</v>
      </c>
      <c r="X3" s="13"/>
      <c r="Y3" s="13" t="s">
        <v>21</v>
      </c>
      <c r="Z3" s="13"/>
      <c r="AA3" s="13"/>
      <c r="AB3" s="13"/>
      <c r="AD3" s="6" t="s">
        <v>43</v>
      </c>
      <c r="AE3" s="6" t="s">
        <v>44</v>
      </c>
      <c r="AF3" s="6" t="s">
        <v>45</v>
      </c>
      <c r="AG3" s="6" t="s">
        <v>46</v>
      </c>
      <c r="AH3" s="6" t="s">
        <v>47</v>
      </c>
      <c r="AI3" s="6" t="s">
        <v>48</v>
      </c>
      <c r="AL3" s="3"/>
      <c r="AS3" s="54" t="s">
        <v>141</v>
      </c>
      <c r="AT3" s="54" t="s">
        <v>140</v>
      </c>
      <c r="AU3" s="54" t="s">
        <v>150</v>
      </c>
      <c r="AV3" s="54" t="s">
        <v>9</v>
      </c>
      <c r="AW3" s="54" t="s">
        <v>142</v>
      </c>
      <c r="AX3" s="54"/>
      <c r="AY3" s="54" t="s">
        <v>143</v>
      </c>
      <c r="AZ3" s="54"/>
      <c r="BA3" s="54" t="s">
        <v>144</v>
      </c>
      <c r="BB3" s="54"/>
      <c r="BC3" s="54" t="s">
        <v>145</v>
      </c>
      <c r="BD3" s="54"/>
      <c r="BE3" s="54" t="s">
        <v>146</v>
      </c>
      <c r="BF3" s="54"/>
      <c r="BG3" s="55" t="s">
        <v>149</v>
      </c>
      <c r="BH3" s="55"/>
      <c r="BM3"/>
      <c r="BN3"/>
      <c r="BO3"/>
      <c r="BP3"/>
      <c r="BQ3"/>
      <c r="BR3"/>
      <c r="BS3"/>
      <c r="BT3"/>
      <c r="BU3"/>
      <c r="BV3"/>
    </row>
    <row r="4" spans="1:74" x14ac:dyDescent="0.3">
      <c r="A4" s="4" t="s">
        <v>25</v>
      </c>
      <c r="C4" s="21" t="s">
        <v>10</v>
      </c>
      <c r="D4" s="21" t="s">
        <v>89</v>
      </c>
      <c r="E4" s="21"/>
      <c r="F4" s="21"/>
      <c r="G4" s="21"/>
      <c r="L4" s="42" t="s">
        <v>71</v>
      </c>
      <c r="N4" s="13" t="s">
        <v>8</v>
      </c>
      <c r="O4" s="13" t="s">
        <v>23</v>
      </c>
      <c r="P4" s="13"/>
      <c r="Q4" s="13"/>
      <c r="R4" s="13"/>
      <c r="S4" s="13"/>
      <c r="T4" s="13"/>
      <c r="V4" s="13" t="s">
        <v>8</v>
      </c>
      <c r="W4" s="13" t="s">
        <v>27</v>
      </c>
      <c r="X4" s="13"/>
      <c r="Y4" s="13"/>
      <c r="Z4" s="13"/>
      <c r="AA4" s="13"/>
      <c r="AB4" s="13"/>
      <c r="AD4" s="7" t="s">
        <v>49</v>
      </c>
      <c r="AE4" s="7" t="s">
        <v>193</v>
      </c>
      <c r="AF4" s="7"/>
      <c r="AG4" s="7"/>
      <c r="AH4" s="7"/>
      <c r="AI4" s="7"/>
      <c r="AL4" s="3"/>
      <c r="AS4" s="54"/>
      <c r="AT4" s="54"/>
      <c r="AU4" s="54"/>
      <c r="AV4" s="54"/>
      <c r="AW4" s="10" t="s">
        <v>148</v>
      </c>
      <c r="AX4" s="10" t="s">
        <v>152</v>
      </c>
      <c r="AY4" s="10" t="s">
        <v>148</v>
      </c>
      <c r="AZ4" s="10" t="s">
        <v>152</v>
      </c>
      <c r="BA4" s="10" t="s">
        <v>148</v>
      </c>
      <c r="BB4" s="10" t="s">
        <v>152</v>
      </c>
      <c r="BC4" s="10" t="s">
        <v>148</v>
      </c>
      <c r="BD4" s="10" t="s">
        <v>152</v>
      </c>
      <c r="BE4" s="10" t="s">
        <v>148</v>
      </c>
      <c r="BF4" s="10" t="s">
        <v>152</v>
      </c>
      <c r="BG4" s="13" t="s">
        <v>148</v>
      </c>
      <c r="BH4" s="13" t="s">
        <v>152</v>
      </c>
      <c r="BK4"/>
      <c r="BL4"/>
      <c r="BM4"/>
      <c r="BN4"/>
      <c r="BO4"/>
      <c r="BP4"/>
      <c r="BQ4"/>
      <c r="BR4"/>
      <c r="BS4"/>
      <c r="BT4"/>
      <c r="BU4"/>
      <c r="BV4"/>
    </row>
    <row r="5" spans="1:74" x14ac:dyDescent="0.3">
      <c r="A5" s="4" t="s">
        <v>3</v>
      </c>
      <c r="C5" s="21" t="s">
        <v>11</v>
      </c>
      <c r="D5" s="21" t="s">
        <v>90</v>
      </c>
      <c r="E5" s="21"/>
      <c r="F5" s="64" t="s">
        <v>186</v>
      </c>
      <c r="G5" s="64"/>
      <c r="L5" s="5" t="s">
        <v>187</v>
      </c>
      <c r="N5" s="13"/>
      <c r="O5" s="13" t="s">
        <v>24</v>
      </c>
      <c r="P5" s="13"/>
      <c r="Q5" s="13"/>
      <c r="R5" s="13"/>
      <c r="S5" s="13"/>
      <c r="T5" s="13"/>
      <c r="V5" s="61" t="s">
        <v>189</v>
      </c>
      <c r="W5" s="61"/>
      <c r="X5" s="61"/>
      <c r="Y5" s="61"/>
      <c r="Z5" s="61"/>
      <c r="AA5" s="61"/>
      <c r="AB5" s="61"/>
      <c r="AD5" s="3"/>
      <c r="AE5" s="3"/>
      <c r="AF5" s="3"/>
      <c r="AG5" s="3"/>
      <c r="AH5" s="3"/>
      <c r="AK5" s="14" t="s">
        <v>6</v>
      </c>
      <c r="AL5" s="11" t="s">
        <v>58</v>
      </c>
      <c r="AM5" s="14" t="s">
        <v>57</v>
      </c>
      <c r="AN5" s="14" t="s">
        <v>103</v>
      </c>
      <c r="AO5" s="14"/>
      <c r="AP5" s="11" t="s">
        <v>116</v>
      </c>
      <c r="AS5" s="10" t="s">
        <v>127</v>
      </c>
      <c r="AT5" s="10" t="s">
        <v>159</v>
      </c>
      <c r="AU5" s="10" t="s">
        <v>84</v>
      </c>
      <c r="AV5" s="10" t="s">
        <v>85</v>
      </c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3"/>
      <c r="BH5" s="13"/>
      <c r="BK5"/>
      <c r="BL5"/>
      <c r="BM5"/>
      <c r="BN5"/>
      <c r="BO5"/>
      <c r="BP5"/>
      <c r="BQ5"/>
      <c r="BR5"/>
      <c r="BS5"/>
      <c r="BT5"/>
      <c r="BU5"/>
      <c r="BV5"/>
    </row>
    <row r="6" spans="1:74" x14ac:dyDescent="0.3">
      <c r="A6" s="4"/>
      <c r="C6" s="21" t="s">
        <v>12</v>
      </c>
      <c r="D6" s="21" t="s">
        <v>91</v>
      </c>
      <c r="E6" s="21"/>
      <c r="F6" s="64"/>
      <c r="G6" s="64"/>
      <c r="N6" s="61" t="s">
        <v>189</v>
      </c>
      <c r="O6" s="61"/>
      <c r="P6" s="61"/>
      <c r="Q6" s="61"/>
      <c r="R6" s="61"/>
      <c r="S6" s="61"/>
      <c r="T6" s="61"/>
      <c r="V6" s="61"/>
      <c r="W6" s="61"/>
      <c r="X6" s="61"/>
      <c r="Y6" s="61"/>
      <c r="Z6" s="61"/>
      <c r="AA6" s="61"/>
      <c r="AB6" s="61"/>
      <c r="AD6" s="8" t="s">
        <v>194</v>
      </c>
      <c r="AE6" s="8" t="s">
        <v>6</v>
      </c>
      <c r="AF6" s="8" t="s">
        <v>33</v>
      </c>
      <c r="AG6" s="8" t="s">
        <v>34</v>
      </c>
      <c r="AH6" s="8" t="s">
        <v>35</v>
      </c>
      <c r="AK6" s="14" t="s">
        <v>50</v>
      </c>
      <c r="AL6" s="11">
        <v>1500</v>
      </c>
      <c r="AM6" s="14">
        <v>360</v>
      </c>
      <c r="AN6" s="14">
        <v>500</v>
      </c>
      <c r="AO6" s="14"/>
      <c r="AP6" s="11">
        <f>SUM(AL6:AO6)</f>
        <v>2360</v>
      </c>
      <c r="AS6" s="10" t="s">
        <v>127</v>
      </c>
      <c r="AT6" s="10" t="s">
        <v>126</v>
      </c>
      <c r="AU6" s="10" t="s">
        <v>84</v>
      </c>
      <c r="AV6" s="10" t="s">
        <v>93</v>
      </c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3"/>
      <c r="BH6" s="13"/>
      <c r="BK6"/>
      <c r="BL6"/>
      <c r="BM6"/>
      <c r="BN6"/>
      <c r="BO6"/>
      <c r="BP6"/>
      <c r="BQ6"/>
      <c r="BR6"/>
      <c r="BS6"/>
      <c r="BT6"/>
      <c r="BU6"/>
      <c r="BV6"/>
    </row>
    <row r="7" spans="1:74" x14ac:dyDescent="0.3">
      <c r="C7" s="21" t="s">
        <v>13</v>
      </c>
      <c r="D7" s="21" t="s">
        <v>92</v>
      </c>
      <c r="E7" s="21"/>
      <c r="F7" s="56" t="s">
        <v>87</v>
      </c>
      <c r="G7" s="56"/>
      <c r="L7" s="38" t="s">
        <v>8</v>
      </c>
      <c r="N7" s="61"/>
      <c r="O7" s="61"/>
      <c r="P7" s="61"/>
      <c r="Q7" s="61"/>
      <c r="R7" s="61"/>
      <c r="S7" s="61"/>
      <c r="T7" s="61"/>
      <c r="AD7" s="8" t="s">
        <v>50</v>
      </c>
      <c r="AE7" s="8" t="s">
        <v>5</v>
      </c>
      <c r="AF7" s="8">
        <v>1000000</v>
      </c>
      <c r="AG7" s="8">
        <v>950000</v>
      </c>
      <c r="AH7" s="8">
        <f>AF7-AG7</f>
        <v>50000</v>
      </c>
      <c r="AK7" s="14" t="s">
        <v>28</v>
      </c>
      <c r="AL7" s="11">
        <v>3500</v>
      </c>
      <c r="AM7" s="14">
        <v>480</v>
      </c>
      <c r="AN7" s="14">
        <v>540</v>
      </c>
      <c r="AO7" s="14"/>
      <c r="AP7" s="11">
        <f t="shared" ref="AP7:AP9" si="0">SUM(AL7:AO7)</f>
        <v>4520</v>
      </c>
      <c r="AS7" s="10" t="s">
        <v>127</v>
      </c>
      <c r="AT7" s="10" t="s">
        <v>160</v>
      </c>
      <c r="AU7" s="10" t="s">
        <v>100</v>
      </c>
      <c r="AV7" s="10" t="s">
        <v>101</v>
      </c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3"/>
      <c r="BH7" s="13"/>
      <c r="BK7"/>
      <c r="BL7"/>
      <c r="BM7"/>
      <c r="BN7"/>
      <c r="BO7"/>
      <c r="BP7"/>
      <c r="BQ7"/>
      <c r="BR7"/>
      <c r="BS7"/>
      <c r="BT7"/>
      <c r="BU7"/>
      <c r="BV7"/>
    </row>
    <row r="8" spans="1:74" x14ac:dyDescent="0.3">
      <c r="A8" s="4" t="s">
        <v>184</v>
      </c>
      <c r="C8" s="21" t="s">
        <v>14</v>
      </c>
      <c r="D8" s="21" t="s">
        <v>88</v>
      </c>
      <c r="E8" s="21"/>
      <c r="F8" s="56"/>
      <c r="G8" s="56"/>
      <c r="L8" s="41" t="s">
        <v>180</v>
      </c>
      <c r="AD8" s="8" t="s">
        <v>50</v>
      </c>
      <c r="AE8" s="8" t="s">
        <v>8</v>
      </c>
      <c r="AF8" s="8">
        <v>15000</v>
      </c>
      <c r="AG8" s="8">
        <v>3500</v>
      </c>
      <c r="AH8" s="8">
        <f t="shared" ref="AH8:AH9" si="1">AF8-AG8</f>
        <v>11500</v>
      </c>
      <c r="AK8" s="14" t="s">
        <v>29</v>
      </c>
      <c r="AL8" s="11">
        <v>1200</v>
      </c>
      <c r="AM8" s="14">
        <v>1000</v>
      </c>
      <c r="AN8" s="14">
        <v>1300</v>
      </c>
      <c r="AO8" s="14"/>
      <c r="AP8" s="11">
        <f t="shared" si="0"/>
        <v>3500</v>
      </c>
      <c r="AS8" s="10" t="s">
        <v>127</v>
      </c>
      <c r="AT8" s="10" t="s">
        <v>160</v>
      </c>
      <c r="AU8" s="10" t="s">
        <v>100</v>
      </c>
      <c r="AV8" s="10" t="s">
        <v>102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3"/>
      <c r="BH8" s="13"/>
      <c r="BK8"/>
      <c r="BL8"/>
      <c r="BM8"/>
      <c r="BN8"/>
      <c r="BO8"/>
      <c r="BP8"/>
      <c r="BQ8"/>
      <c r="BR8"/>
      <c r="BS8"/>
      <c r="BT8"/>
      <c r="BU8"/>
      <c r="BV8"/>
    </row>
    <row r="9" spans="1:74" x14ac:dyDescent="0.3">
      <c r="A9" s="4" t="s">
        <v>172</v>
      </c>
      <c r="L9" s="42" t="s">
        <v>71</v>
      </c>
      <c r="AD9" s="8" t="s">
        <v>50</v>
      </c>
      <c r="AE9" s="8" t="s">
        <v>51</v>
      </c>
      <c r="AF9" s="8">
        <v>700000</v>
      </c>
      <c r="AG9" s="8">
        <v>700000</v>
      </c>
      <c r="AH9" s="8">
        <f t="shared" si="1"/>
        <v>0</v>
      </c>
      <c r="AK9" s="14" t="s">
        <v>56</v>
      </c>
      <c r="AL9" s="11">
        <v>4800</v>
      </c>
      <c r="AM9" s="14">
        <v>2500</v>
      </c>
      <c r="AN9" s="14">
        <v>480</v>
      </c>
      <c r="AO9" s="14"/>
      <c r="AP9" s="11">
        <f t="shared" si="0"/>
        <v>7780</v>
      </c>
      <c r="AS9" s="10" t="s">
        <v>57</v>
      </c>
      <c r="AT9" s="10" t="s">
        <v>104</v>
      </c>
      <c r="AU9" s="10" t="s">
        <v>94</v>
      </c>
      <c r="AV9" s="10" t="s">
        <v>95</v>
      </c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3"/>
      <c r="BH9" s="13"/>
      <c r="BK9"/>
      <c r="BL9"/>
      <c r="BM9"/>
      <c r="BN9"/>
      <c r="BO9"/>
      <c r="BP9"/>
      <c r="BQ9"/>
      <c r="BR9"/>
      <c r="BS9"/>
      <c r="BT9"/>
      <c r="BU9"/>
      <c r="BV9"/>
    </row>
    <row r="10" spans="1:74" x14ac:dyDescent="0.3">
      <c r="A10" s="4" t="s">
        <v>4</v>
      </c>
      <c r="L10" s="5" t="s">
        <v>187</v>
      </c>
      <c r="AD10" s="9" t="s">
        <v>28</v>
      </c>
      <c r="AE10" s="9" t="s">
        <v>5</v>
      </c>
      <c r="AF10" s="9">
        <v>1000000</v>
      </c>
      <c r="AG10" s="9">
        <v>950000</v>
      </c>
      <c r="AH10" s="9">
        <f>AF10-AG10</f>
        <v>50000</v>
      </c>
      <c r="AS10" s="10" t="s">
        <v>57</v>
      </c>
      <c r="AT10" s="10" t="s">
        <v>104</v>
      </c>
      <c r="AU10" s="10" t="s">
        <v>94</v>
      </c>
      <c r="AV10" s="10" t="s">
        <v>96</v>
      </c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3"/>
      <c r="BH10" s="13"/>
      <c r="BK10"/>
      <c r="BL10"/>
      <c r="BM10"/>
      <c r="BN10"/>
      <c r="BO10"/>
      <c r="BP10"/>
      <c r="BQ10"/>
      <c r="BR10"/>
      <c r="BS10"/>
      <c r="BT10"/>
      <c r="BU10"/>
      <c r="BV10"/>
    </row>
    <row r="11" spans="1:74" x14ac:dyDescent="0.3">
      <c r="A11" s="4" t="s">
        <v>170</v>
      </c>
      <c r="N11" s="19" t="s">
        <v>124</v>
      </c>
      <c r="O11" s="39" t="s">
        <v>67</v>
      </c>
      <c r="P11" s="19" t="s">
        <v>59</v>
      </c>
      <c r="Q11" s="43" t="s">
        <v>7</v>
      </c>
      <c r="R11" s="19" t="s">
        <v>66</v>
      </c>
      <c r="S11" s="19" t="s">
        <v>65</v>
      </c>
      <c r="T11" s="19"/>
      <c r="V11" s="20" t="s">
        <v>195</v>
      </c>
      <c r="W11" s="47" t="s">
        <v>6</v>
      </c>
      <c r="X11" s="20" t="s">
        <v>59</v>
      </c>
      <c r="Y11" s="45" t="s">
        <v>7</v>
      </c>
      <c r="Z11" s="20" t="s">
        <v>66</v>
      </c>
      <c r="AA11" s="20" t="s">
        <v>73</v>
      </c>
      <c r="AB11" s="20"/>
      <c r="AD11" s="9" t="s">
        <v>28</v>
      </c>
      <c r="AE11" s="9" t="s">
        <v>8</v>
      </c>
      <c r="AF11" s="9">
        <v>0</v>
      </c>
      <c r="AG11" s="9">
        <v>0</v>
      </c>
      <c r="AH11" s="9">
        <f t="shared" ref="AH11:AH12" si="2">AF11-AG11</f>
        <v>0</v>
      </c>
      <c r="AL11" s="3"/>
      <c r="AS11" s="10" t="s">
        <v>57</v>
      </c>
      <c r="AT11" s="10" t="s">
        <v>161</v>
      </c>
      <c r="AU11" s="10" t="s">
        <v>133</v>
      </c>
      <c r="AV11" s="10" t="s">
        <v>135</v>
      </c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3"/>
      <c r="BH11" s="13"/>
      <c r="BK11"/>
      <c r="BL11"/>
      <c r="BM11"/>
      <c r="BN11"/>
      <c r="BO11"/>
      <c r="BP11"/>
      <c r="BQ11"/>
      <c r="BR11"/>
      <c r="BS11"/>
      <c r="BT11"/>
      <c r="BU11"/>
      <c r="BV11"/>
    </row>
    <row r="12" spans="1:74" x14ac:dyDescent="0.3">
      <c r="A12" s="4" t="s">
        <v>3</v>
      </c>
      <c r="C12" s="14" t="s">
        <v>99</v>
      </c>
      <c r="D12" s="14" t="s">
        <v>9</v>
      </c>
      <c r="E12" s="14" t="s">
        <v>10</v>
      </c>
      <c r="F12" s="14" t="s">
        <v>83</v>
      </c>
      <c r="G12" s="14" t="s">
        <v>79</v>
      </c>
      <c r="H12" s="14" t="s">
        <v>80</v>
      </c>
      <c r="I12" s="14" t="s">
        <v>81</v>
      </c>
      <c r="J12" s="14" t="s">
        <v>82</v>
      </c>
      <c r="K12" s="49"/>
      <c r="L12" s="38" t="s">
        <v>51</v>
      </c>
      <c r="N12" s="19" t="s">
        <v>57</v>
      </c>
      <c r="O12" s="40" t="s">
        <v>50</v>
      </c>
      <c r="P12" s="19">
        <v>350</v>
      </c>
      <c r="Q12" s="44">
        <v>45000</v>
      </c>
      <c r="R12" s="19">
        <f>P12*Q12</f>
        <v>15750000</v>
      </c>
      <c r="S12" s="19"/>
      <c r="T12" s="19"/>
      <c r="V12" s="20" t="s">
        <v>70</v>
      </c>
      <c r="W12" s="48" t="s">
        <v>50</v>
      </c>
      <c r="X12" s="20">
        <v>650</v>
      </c>
      <c r="Y12" s="46">
        <v>45000</v>
      </c>
      <c r="Z12" s="20">
        <f>X12*Y12</f>
        <v>29250000</v>
      </c>
      <c r="AA12" s="20"/>
      <c r="AB12" s="20"/>
      <c r="AD12" s="9" t="s">
        <v>28</v>
      </c>
      <c r="AE12" s="9" t="s">
        <v>51</v>
      </c>
      <c r="AF12" s="9">
        <v>700000</v>
      </c>
      <c r="AG12" s="9">
        <v>700000</v>
      </c>
      <c r="AH12" s="9">
        <f t="shared" si="2"/>
        <v>0</v>
      </c>
      <c r="AK12" s="14" t="s">
        <v>6</v>
      </c>
      <c r="AL12" s="11" t="s">
        <v>58</v>
      </c>
      <c r="AM12" s="14" t="s">
        <v>57</v>
      </c>
      <c r="AN12" s="14" t="s">
        <v>103</v>
      </c>
      <c r="AO12" s="14" t="s">
        <v>118</v>
      </c>
      <c r="AP12" s="25" t="s">
        <v>119</v>
      </c>
      <c r="AQ12" s="14" t="s">
        <v>120</v>
      </c>
      <c r="AS12" s="10" t="s">
        <v>57</v>
      </c>
      <c r="AT12" s="10" t="s">
        <v>161</v>
      </c>
      <c r="AU12" s="10" t="s">
        <v>133</v>
      </c>
      <c r="AV12" s="10" t="s">
        <v>135</v>
      </c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3"/>
      <c r="BH12" s="13"/>
      <c r="BK12"/>
      <c r="BL12"/>
      <c r="BM12"/>
      <c r="BN12"/>
      <c r="BO12"/>
      <c r="BP12"/>
      <c r="BQ12"/>
      <c r="BR12"/>
      <c r="BS12"/>
      <c r="BT12"/>
      <c r="BU12"/>
      <c r="BV12"/>
    </row>
    <row r="13" spans="1:74" x14ac:dyDescent="0.3">
      <c r="A13" s="4"/>
      <c r="C13" s="14" t="s">
        <v>84</v>
      </c>
      <c r="D13" s="14" t="s">
        <v>85</v>
      </c>
      <c r="E13" s="14" t="s">
        <v>58</v>
      </c>
      <c r="F13" s="14" t="s">
        <v>86</v>
      </c>
      <c r="G13" s="23" t="s">
        <v>98</v>
      </c>
      <c r="H13" s="24"/>
      <c r="I13" s="24"/>
      <c r="J13" s="24"/>
      <c r="K13" s="50"/>
      <c r="L13" s="5" t="s">
        <v>179</v>
      </c>
      <c r="N13" s="19" t="s">
        <v>57</v>
      </c>
      <c r="O13" s="40" t="s">
        <v>28</v>
      </c>
      <c r="P13" s="19">
        <v>500</v>
      </c>
      <c r="Q13" s="44">
        <v>43000</v>
      </c>
      <c r="R13" s="19">
        <f>P13*Q13</f>
        <v>21500000</v>
      </c>
      <c r="S13" s="19"/>
      <c r="T13" s="19"/>
      <c r="V13" s="20" t="s">
        <v>70</v>
      </c>
      <c r="W13" s="48" t="s">
        <v>28</v>
      </c>
      <c r="X13" s="20">
        <v>750</v>
      </c>
      <c r="Y13" s="46">
        <v>43000</v>
      </c>
      <c r="Z13" s="20">
        <f>X13*Y13</f>
        <v>32250000</v>
      </c>
      <c r="AA13" s="20"/>
      <c r="AB13" s="20"/>
      <c r="AD13" s="3"/>
      <c r="AE13" s="3"/>
      <c r="AF13" s="3"/>
      <c r="AG13" s="3"/>
      <c r="AH13" s="3"/>
      <c r="AK13" s="14" t="s">
        <v>50</v>
      </c>
      <c r="AL13" s="11">
        <f t="shared" ref="AL13:AN16" si="3">AL6*45000</f>
        <v>67500000</v>
      </c>
      <c r="AM13" s="14">
        <f t="shared" si="3"/>
        <v>16200000</v>
      </c>
      <c r="AN13" s="14">
        <f t="shared" si="3"/>
        <v>22500000</v>
      </c>
      <c r="AO13" s="14">
        <v>106200000</v>
      </c>
      <c r="AP13" s="14">
        <v>100000000</v>
      </c>
      <c r="AQ13" s="14">
        <f>AO13-AP13</f>
        <v>6200000</v>
      </c>
      <c r="AS13" s="10" t="s">
        <v>57</v>
      </c>
      <c r="AT13" s="10" t="s">
        <v>161</v>
      </c>
      <c r="AU13" s="10" t="s">
        <v>133</v>
      </c>
      <c r="AV13" s="10" t="s">
        <v>135</v>
      </c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3"/>
      <c r="BH13" s="13"/>
      <c r="BK13"/>
      <c r="BL13"/>
      <c r="BM13"/>
      <c r="BN13"/>
      <c r="BO13"/>
      <c r="BP13"/>
      <c r="BQ13"/>
      <c r="BR13"/>
      <c r="BS13"/>
      <c r="BT13"/>
      <c r="BU13"/>
      <c r="BV13"/>
    </row>
    <row r="14" spans="1:74" x14ac:dyDescent="0.3">
      <c r="C14" s="14" t="s">
        <v>84</v>
      </c>
      <c r="D14" s="14" t="s">
        <v>93</v>
      </c>
      <c r="E14" s="14" t="s">
        <v>58</v>
      </c>
      <c r="F14" s="14" t="s">
        <v>86</v>
      </c>
      <c r="G14" s="24"/>
      <c r="H14" s="24"/>
      <c r="I14" s="24"/>
      <c r="J14" s="24"/>
      <c r="K14" s="50"/>
      <c r="L14" s="5" t="s">
        <v>71</v>
      </c>
      <c r="N14" s="19" t="s">
        <v>57</v>
      </c>
      <c r="O14" s="40" t="s">
        <v>29</v>
      </c>
      <c r="P14" s="19">
        <v>640</v>
      </c>
      <c r="Q14" s="44">
        <v>51000</v>
      </c>
      <c r="R14" s="19">
        <f t="shared" ref="R14:R15" si="4">P14*Q14</f>
        <v>32640000</v>
      </c>
      <c r="S14" s="19"/>
      <c r="T14" s="19"/>
      <c r="V14" s="20" t="s">
        <v>70</v>
      </c>
      <c r="W14" s="48" t="s">
        <v>29</v>
      </c>
      <c r="X14" s="20">
        <v>770</v>
      </c>
      <c r="Y14" s="46">
        <v>51000</v>
      </c>
      <c r="Z14" s="20">
        <f t="shared" ref="Z14:Z15" si="5">X14*Y14</f>
        <v>39270000</v>
      </c>
      <c r="AA14" s="20"/>
      <c r="AB14" s="20"/>
      <c r="AD14" s="10" t="s">
        <v>108</v>
      </c>
      <c r="AE14" s="10" t="s">
        <v>27</v>
      </c>
      <c r="AF14" s="10" t="s">
        <v>33</v>
      </c>
      <c r="AG14" s="10" t="s">
        <v>34</v>
      </c>
      <c r="AH14" s="10" t="s">
        <v>35</v>
      </c>
      <c r="AK14" s="14" t="s">
        <v>28</v>
      </c>
      <c r="AL14" s="11">
        <f t="shared" si="3"/>
        <v>157500000</v>
      </c>
      <c r="AM14" s="14">
        <f t="shared" si="3"/>
        <v>21600000</v>
      </c>
      <c r="AN14" s="14">
        <f t="shared" si="3"/>
        <v>24300000</v>
      </c>
      <c r="AO14" s="14">
        <v>203400000</v>
      </c>
      <c r="AP14" s="14">
        <v>200000000</v>
      </c>
      <c r="AQ14" s="14">
        <f t="shared" ref="AQ14:AQ16" si="6">AO14-AP14</f>
        <v>3400000</v>
      </c>
      <c r="AS14" s="10" t="s">
        <v>103</v>
      </c>
      <c r="AT14" s="10" t="s">
        <v>162</v>
      </c>
      <c r="AU14" s="10" t="s">
        <v>134</v>
      </c>
      <c r="AV14" s="10" t="s">
        <v>135</v>
      </c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3"/>
      <c r="BH14" s="13"/>
      <c r="BK14"/>
      <c r="BL14"/>
      <c r="BM14"/>
      <c r="BN14"/>
      <c r="BO14"/>
      <c r="BP14"/>
      <c r="BQ14"/>
      <c r="BR14"/>
      <c r="BS14"/>
      <c r="BT14"/>
      <c r="BU14"/>
      <c r="BV14"/>
    </row>
    <row r="15" spans="1:74" x14ac:dyDescent="0.3">
      <c r="A15" s="4" t="s">
        <v>183</v>
      </c>
      <c r="C15" s="14" t="s">
        <v>100</v>
      </c>
      <c r="D15" s="14" t="s">
        <v>101</v>
      </c>
      <c r="E15" s="14" t="s">
        <v>103</v>
      </c>
      <c r="F15" s="14" t="s">
        <v>104</v>
      </c>
      <c r="G15" s="14"/>
      <c r="H15" s="23" t="s">
        <v>98</v>
      </c>
      <c r="I15" s="23"/>
      <c r="J15" s="14"/>
      <c r="K15" s="49"/>
      <c r="L15" s="5" t="s">
        <v>187</v>
      </c>
      <c r="N15" s="19" t="s">
        <v>57</v>
      </c>
      <c r="O15" s="40" t="s">
        <v>30</v>
      </c>
      <c r="P15" s="19">
        <v>240</v>
      </c>
      <c r="Q15" s="44">
        <v>45500</v>
      </c>
      <c r="R15" s="19">
        <f t="shared" si="4"/>
        <v>10920000</v>
      </c>
      <c r="S15" s="19"/>
      <c r="T15" s="19"/>
      <c r="V15" s="20" t="s">
        <v>70</v>
      </c>
      <c r="W15" s="48" t="s">
        <v>30</v>
      </c>
      <c r="X15" s="20">
        <v>290</v>
      </c>
      <c r="Y15" s="46">
        <v>45500</v>
      </c>
      <c r="Z15" s="20">
        <f t="shared" si="5"/>
        <v>13195000</v>
      </c>
      <c r="AA15" s="20"/>
      <c r="AB15" s="20"/>
      <c r="AD15" s="10" t="s">
        <v>53</v>
      </c>
      <c r="AE15" s="10" t="s">
        <v>50</v>
      </c>
      <c r="AF15" s="10">
        <v>1000000</v>
      </c>
      <c r="AG15" s="10">
        <v>950000</v>
      </c>
      <c r="AH15" s="10">
        <f>AF15-AG15</f>
        <v>50000</v>
      </c>
      <c r="AK15" s="14" t="s">
        <v>29</v>
      </c>
      <c r="AL15" s="11">
        <f t="shared" si="3"/>
        <v>54000000</v>
      </c>
      <c r="AM15" s="14">
        <f t="shared" si="3"/>
        <v>45000000</v>
      </c>
      <c r="AN15" s="14">
        <f t="shared" si="3"/>
        <v>58500000</v>
      </c>
      <c r="AO15" s="14">
        <v>157500000</v>
      </c>
      <c r="AP15" s="14">
        <v>140000000</v>
      </c>
      <c r="AQ15" s="14">
        <f t="shared" si="6"/>
        <v>17500000</v>
      </c>
      <c r="AS15" s="10" t="s">
        <v>103</v>
      </c>
      <c r="AT15" s="10" t="s">
        <v>162</v>
      </c>
      <c r="AU15" s="10" t="s">
        <v>134</v>
      </c>
      <c r="AV15" s="10" t="s">
        <v>135</v>
      </c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3"/>
      <c r="BH15" s="13"/>
      <c r="BK15"/>
      <c r="BL15"/>
      <c r="BM15"/>
      <c r="BN15"/>
      <c r="BO15"/>
      <c r="BP15"/>
      <c r="BQ15"/>
      <c r="BR15"/>
      <c r="BS15"/>
      <c r="BT15"/>
      <c r="BU15"/>
      <c r="BV15"/>
    </row>
    <row r="16" spans="1:74" x14ac:dyDescent="0.3">
      <c r="A16" s="4" t="s">
        <v>171</v>
      </c>
      <c r="C16" s="14" t="s">
        <v>100</v>
      </c>
      <c r="D16" s="14" t="s">
        <v>102</v>
      </c>
      <c r="E16" s="14" t="s">
        <v>103</v>
      </c>
      <c r="F16" s="14" t="s">
        <v>104</v>
      </c>
      <c r="G16" s="14"/>
      <c r="H16" s="14"/>
      <c r="I16" s="14"/>
      <c r="J16" s="23"/>
      <c r="K16" s="51"/>
      <c r="N16" s="19"/>
      <c r="O16" s="19"/>
      <c r="P16" s="19"/>
      <c r="Q16" s="19"/>
      <c r="R16" s="19"/>
      <c r="S16" s="19"/>
      <c r="T16" s="60" t="s">
        <v>62</v>
      </c>
      <c r="U16" s="18"/>
      <c r="V16" s="20"/>
      <c r="W16" s="20"/>
      <c r="X16" s="20"/>
      <c r="Y16" s="20"/>
      <c r="Z16" s="20"/>
      <c r="AA16" s="20"/>
      <c r="AB16" s="59" t="s">
        <v>64</v>
      </c>
      <c r="AC16" s="18"/>
      <c r="AD16" s="10" t="s">
        <v>53</v>
      </c>
      <c r="AE16" s="10" t="s">
        <v>28</v>
      </c>
      <c r="AF16" s="10">
        <v>15000</v>
      </c>
      <c r="AG16" s="10">
        <v>3500</v>
      </c>
      <c r="AH16" s="10">
        <f t="shared" ref="AH16" si="7">AF16-AG16</f>
        <v>11500</v>
      </c>
      <c r="AK16" s="14" t="s">
        <v>56</v>
      </c>
      <c r="AL16" s="11">
        <f t="shared" si="3"/>
        <v>216000000</v>
      </c>
      <c r="AM16" s="14">
        <f t="shared" si="3"/>
        <v>112500000</v>
      </c>
      <c r="AN16" s="14">
        <f t="shared" si="3"/>
        <v>21600000</v>
      </c>
      <c r="AO16" s="14">
        <v>350100000</v>
      </c>
      <c r="AP16" s="14">
        <v>300000000</v>
      </c>
      <c r="AQ16" s="14">
        <f t="shared" si="6"/>
        <v>50100000</v>
      </c>
      <c r="AS16" s="10" t="s">
        <v>103</v>
      </c>
      <c r="AT16" s="10" t="s">
        <v>163</v>
      </c>
      <c r="AU16" s="10" t="s">
        <v>134</v>
      </c>
      <c r="AV16" s="10" t="s">
        <v>135</v>
      </c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3"/>
      <c r="BH16" s="13"/>
      <c r="BK16"/>
      <c r="BL16"/>
      <c r="BM16"/>
      <c r="BN16"/>
      <c r="BO16"/>
      <c r="BP16"/>
      <c r="BQ16"/>
      <c r="BR16"/>
      <c r="BS16"/>
      <c r="BT16"/>
      <c r="BU16"/>
      <c r="BV16"/>
    </row>
    <row r="17" spans="1:74" x14ac:dyDescent="0.3">
      <c r="A17" s="4" t="s">
        <v>140</v>
      </c>
      <c r="C17" s="14" t="s">
        <v>94</v>
      </c>
      <c r="D17" s="14" t="s">
        <v>95</v>
      </c>
      <c r="E17" s="14" t="s">
        <v>57</v>
      </c>
      <c r="F17" s="14" t="s">
        <v>97</v>
      </c>
      <c r="G17" s="14"/>
      <c r="H17" s="14"/>
      <c r="I17" s="23" t="s">
        <v>98</v>
      </c>
      <c r="J17" s="14"/>
      <c r="K17" s="49"/>
      <c r="N17" s="19" t="s">
        <v>66</v>
      </c>
      <c r="O17" s="19"/>
      <c r="P17" s="19">
        <f>SUM(P12:P16)</f>
        <v>1730</v>
      </c>
      <c r="Q17" s="19"/>
      <c r="R17" s="19">
        <f>SUM(R12:R16)</f>
        <v>80810000</v>
      </c>
      <c r="S17" s="19"/>
      <c r="T17" s="60"/>
      <c r="U17" s="18"/>
      <c r="V17" s="20" t="s">
        <v>66</v>
      </c>
      <c r="W17" s="20"/>
      <c r="X17" s="20">
        <f>SUM(X12:X16)</f>
        <v>2460</v>
      </c>
      <c r="Y17" s="20"/>
      <c r="Z17" s="20">
        <f>SUM(Z12:Z16)</f>
        <v>113965000</v>
      </c>
      <c r="AA17" s="20"/>
      <c r="AB17" s="59"/>
      <c r="AC17" s="18"/>
      <c r="AD17" s="10" t="s">
        <v>53</v>
      </c>
      <c r="AE17" s="10" t="s">
        <v>29</v>
      </c>
      <c r="AF17" s="10"/>
      <c r="AG17" s="10"/>
      <c r="AH17" s="10"/>
      <c r="AS17" s="10" t="s">
        <v>103</v>
      </c>
      <c r="AT17" s="10" t="s">
        <v>163</v>
      </c>
      <c r="AU17" s="10" t="s">
        <v>134</v>
      </c>
      <c r="AV17" s="10" t="s">
        <v>135</v>
      </c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3"/>
      <c r="BH17" s="13"/>
      <c r="BK17"/>
      <c r="BL17"/>
      <c r="BM17"/>
      <c r="BN17"/>
      <c r="BO17"/>
      <c r="BP17"/>
      <c r="BQ17"/>
      <c r="BR17"/>
      <c r="BS17"/>
      <c r="BT17"/>
      <c r="BU17"/>
      <c r="BV17"/>
    </row>
    <row r="18" spans="1:74" x14ac:dyDescent="0.3">
      <c r="A18" s="4" t="s">
        <v>3</v>
      </c>
      <c r="C18" s="14" t="s">
        <v>94</v>
      </c>
      <c r="D18" s="14" t="s">
        <v>96</v>
      </c>
      <c r="E18" s="14" t="s">
        <v>57</v>
      </c>
      <c r="F18" s="14" t="s">
        <v>97</v>
      </c>
      <c r="G18" s="14"/>
      <c r="H18" s="14"/>
      <c r="I18" s="14"/>
      <c r="J18" s="23" t="s">
        <v>98</v>
      </c>
      <c r="K18" s="51"/>
      <c r="N18" s="62" t="s">
        <v>191</v>
      </c>
      <c r="O18" s="62"/>
      <c r="P18" s="62"/>
      <c r="Q18" s="62"/>
      <c r="R18" s="62"/>
      <c r="S18" s="62"/>
      <c r="T18" s="62"/>
      <c r="V18" s="62" t="s">
        <v>192</v>
      </c>
      <c r="W18" s="62"/>
      <c r="X18" s="62"/>
      <c r="Y18" s="62"/>
      <c r="Z18" s="62"/>
      <c r="AA18" s="62"/>
      <c r="AB18" s="62"/>
      <c r="AD18" s="9"/>
      <c r="AE18" s="9" t="s">
        <v>8</v>
      </c>
      <c r="AF18" s="9" t="s">
        <v>33</v>
      </c>
      <c r="AG18" s="9" t="s">
        <v>34</v>
      </c>
      <c r="AH18" s="9" t="s">
        <v>35</v>
      </c>
      <c r="AQ18" s="14" t="s">
        <v>121</v>
      </c>
      <c r="AS18" s="10" t="s">
        <v>103</v>
      </c>
      <c r="AT18" s="10" t="s">
        <v>163</v>
      </c>
      <c r="AU18" s="10" t="s">
        <v>134</v>
      </c>
      <c r="AV18" s="10" t="s">
        <v>135</v>
      </c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3"/>
      <c r="BH18" s="13"/>
      <c r="BK18"/>
      <c r="BL18"/>
      <c r="BM18"/>
      <c r="BN18"/>
      <c r="BO18"/>
      <c r="BP18"/>
      <c r="BQ18"/>
      <c r="BR18"/>
      <c r="BS18"/>
      <c r="BT18"/>
      <c r="BU18"/>
      <c r="BV18"/>
    </row>
    <row r="19" spans="1:74" x14ac:dyDescent="0.3">
      <c r="N19" s="63"/>
      <c r="O19" s="63"/>
      <c r="P19" s="63"/>
      <c r="Q19" s="63"/>
      <c r="R19" s="63"/>
      <c r="S19" s="63"/>
      <c r="T19" s="63"/>
      <c r="V19" s="63"/>
      <c r="W19" s="63"/>
      <c r="X19" s="63"/>
      <c r="Y19" s="63"/>
      <c r="Z19" s="63"/>
      <c r="AA19" s="63"/>
      <c r="AB19" s="63"/>
      <c r="AD19" s="9" t="s">
        <v>54</v>
      </c>
      <c r="AE19" s="9" t="s">
        <v>55</v>
      </c>
      <c r="AF19" s="9">
        <v>1000000</v>
      </c>
      <c r="AG19" s="9">
        <v>950000</v>
      </c>
      <c r="AH19" s="9">
        <f>AF19-AG19</f>
        <v>50000</v>
      </c>
      <c r="AK19" s="3" t="s">
        <v>123</v>
      </c>
      <c r="AQ19" s="14">
        <f>SUM(AQ13:AQ16)</f>
        <v>77200000</v>
      </c>
      <c r="AS19" s="10" t="s">
        <v>103</v>
      </c>
      <c r="AT19" s="10" t="s">
        <v>163</v>
      </c>
      <c r="AU19" s="10" t="s">
        <v>134</v>
      </c>
      <c r="AV19" s="10" t="s">
        <v>135</v>
      </c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3"/>
      <c r="BH19" s="13">
        <f>SUM(BH5:BH18)</f>
        <v>0</v>
      </c>
      <c r="BK19"/>
      <c r="BL19"/>
      <c r="BM19"/>
      <c r="BN19"/>
      <c r="BO19"/>
      <c r="BP19"/>
      <c r="BQ19"/>
      <c r="BR19"/>
      <c r="BS19"/>
      <c r="BT19"/>
      <c r="BU19"/>
      <c r="BV19"/>
    </row>
    <row r="20" spans="1:74" x14ac:dyDescent="0.3">
      <c r="A20" s="3" t="s">
        <v>173</v>
      </c>
      <c r="L20" s="3" t="s">
        <v>176</v>
      </c>
      <c r="AD20" s="9" t="s">
        <v>54</v>
      </c>
      <c r="AE20" s="9" t="s">
        <v>56</v>
      </c>
      <c r="AF20" s="9">
        <v>15000</v>
      </c>
      <c r="AG20" s="9">
        <v>3500</v>
      </c>
      <c r="AH20" s="9">
        <f t="shared" ref="AH20" si="8">AF20-AG20</f>
        <v>11500</v>
      </c>
      <c r="AK20" s="11" t="s">
        <v>124</v>
      </c>
      <c r="AL20" s="57" t="s">
        <v>72</v>
      </c>
      <c r="AM20" s="58"/>
      <c r="AN20" s="14" t="s">
        <v>125</v>
      </c>
      <c r="BI20" s="16"/>
      <c r="BL20"/>
      <c r="BM20"/>
      <c r="BN20"/>
      <c r="BO20"/>
      <c r="BP20"/>
      <c r="BQ20"/>
      <c r="BR20"/>
      <c r="BS20"/>
      <c r="BT20"/>
      <c r="BU20"/>
      <c r="BV20"/>
    </row>
    <row r="21" spans="1:74" x14ac:dyDescent="0.3">
      <c r="A21" s="3" t="s">
        <v>174</v>
      </c>
      <c r="L21" s="3" t="s">
        <v>177</v>
      </c>
      <c r="AD21" s="3"/>
      <c r="AE21" s="3"/>
      <c r="AF21" s="3"/>
      <c r="AG21" s="3"/>
      <c r="AH21" s="3"/>
      <c r="AK21" s="26" t="s">
        <v>58</v>
      </c>
      <c r="BM21"/>
      <c r="BN21"/>
      <c r="BO21"/>
      <c r="BP21"/>
      <c r="BQ21"/>
      <c r="BR21"/>
      <c r="BS21"/>
      <c r="BT21"/>
      <c r="BU21"/>
      <c r="BV21"/>
    </row>
    <row r="22" spans="1:74" x14ac:dyDescent="0.3">
      <c r="A22" s="3" t="s">
        <v>175</v>
      </c>
      <c r="C22" s="52"/>
      <c r="D22" s="52"/>
      <c r="E22" s="52"/>
      <c r="F22" s="52"/>
      <c r="G22" s="52"/>
      <c r="H22" s="52"/>
      <c r="I22" s="52"/>
      <c r="J22" s="52"/>
      <c r="K22" s="29"/>
      <c r="AD22" s="12" t="s">
        <v>22</v>
      </c>
      <c r="AE22" s="8" t="s">
        <v>32</v>
      </c>
      <c r="AF22" s="8" t="s">
        <v>6</v>
      </c>
      <c r="AG22" s="8" t="s">
        <v>33</v>
      </c>
      <c r="AH22" s="8" t="s">
        <v>34</v>
      </c>
      <c r="AI22" s="8" t="s">
        <v>35</v>
      </c>
      <c r="AK22" s="14" t="s">
        <v>57</v>
      </c>
      <c r="AS22" s="3" t="s">
        <v>158</v>
      </c>
      <c r="BM22"/>
      <c r="BN22"/>
      <c r="BO22"/>
      <c r="BP22"/>
      <c r="BQ22"/>
      <c r="BR22"/>
      <c r="BS22"/>
      <c r="BT22"/>
      <c r="BU22"/>
      <c r="BV22"/>
    </row>
    <row r="23" spans="1:74" x14ac:dyDescent="0.3">
      <c r="C23" s="52"/>
      <c r="D23" s="52"/>
      <c r="E23" s="52"/>
      <c r="F23" s="52"/>
      <c r="G23" s="52"/>
      <c r="H23" s="52"/>
      <c r="I23" s="52"/>
      <c r="J23" s="52"/>
      <c r="K23" s="29"/>
      <c r="AD23" s="12" t="s">
        <v>58</v>
      </c>
      <c r="AE23" s="8" t="s">
        <v>50</v>
      </c>
      <c r="AF23" s="8" t="s">
        <v>5</v>
      </c>
      <c r="AG23" s="8">
        <v>3000</v>
      </c>
      <c r="AH23" s="8">
        <v>2500</v>
      </c>
      <c r="AI23" s="8">
        <f>AG23-AH23</f>
        <v>500</v>
      </c>
      <c r="AK23" s="14" t="s">
        <v>103</v>
      </c>
      <c r="AL23" s="3"/>
      <c r="AS23" s="54" t="s">
        <v>141</v>
      </c>
      <c r="AT23" s="54" t="s">
        <v>140</v>
      </c>
      <c r="AU23" s="54" t="s">
        <v>150</v>
      </c>
      <c r="AV23" s="54" t="s">
        <v>9</v>
      </c>
      <c r="AW23" s="54" t="s">
        <v>153</v>
      </c>
      <c r="AX23" s="54"/>
      <c r="AY23" s="54" t="s">
        <v>154</v>
      </c>
      <c r="AZ23" s="54"/>
      <c r="BA23" s="54" t="s">
        <v>155</v>
      </c>
      <c r="BB23" s="54"/>
      <c r="BC23" s="54" t="s">
        <v>40</v>
      </c>
      <c r="BD23" s="54"/>
      <c r="BE23" s="54" t="s">
        <v>41</v>
      </c>
      <c r="BF23" s="54"/>
      <c r="BG23" s="54" t="s">
        <v>42</v>
      </c>
      <c r="BH23" s="54"/>
      <c r="BI23" s="54" t="s">
        <v>156</v>
      </c>
      <c r="BJ23" s="54"/>
      <c r="BK23" s="54" t="s">
        <v>157</v>
      </c>
      <c r="BL23" s="54"/>
      <c r="BM23" s="54" t="s">
        <v>45</v>
      </c>
      <c r="BN23" s="54"/>
      <c r="BO23" s="54" t="s">
        <v>46</v>
      </c>
      <c r="BP23" s="54"/>
      <c r="BQ23" s="54" t="s">
        <v>47</v>
      </c>
      <c r="BR23" s="54"/>
      <c r="BS23" s="54" t="s">
        <v>48</v>
      </c>
      <c r="BT23" s="54"/>
      <c r="BU23" s="55" t="s">
        <v>149</v>
      </c>
      <c r="BV23" s="55"/>
    </row>
    <row r="24" spans="1:74" x14ac:dyDescent="0.3">
      <c r="A24" s="3" t="s">
        <v>75</v>
      </c>
      <c r="C24" s="52"/>
      <c r="D24" s="52"/>
      <c r="E24" s="52"/>
      <c r="F24" s="52"/>
      <c r="G24" s="52"/>
      <c r="H24" s="52"/>
      <c r="I24" s="52"/>
      <c r="J24" s="52"/>
      <c r="K24" s="29"/>
      <c r="AD24" s="12" t="s">
        <v>57</v>
      </c>
      <c r="AE24" s="8" t="s">
        <v>50</v>
      </c>
      <c r="AF24" s="8" t="s">
        <v>8</v>
      </c>
      <c r="AG24" s="8">
        <v>150</v>
      </c>
      <c r="AH24" s="8">
        <v>100</v>
      </c>
      <c r="AI24" s="8">
        <f t="shared" ref="AI24:AI25" si="9">AG24-AH24</f>
        <v>50</v>
      </c>
      <c r="AL24" s="3"/>
      <c r="AS24" s="54"/>
      <c r="AT24" s="54"/>
      <c r="AU24" s="54"/>
      <c r="AV24" s="54"/>
      <c r="AW24" s="10" t="s">
        <v>148</v>
      </c>
      <c r="AX24" s="10" t="s">
        <v>152</v>
      </c>
      <c r="AY24" s="10" t="s">
        <v>148</v>
      </c>
      <c r="AZ24" s="10" t="s">
        <v>152</v>
      </c>
      <c r="BA24" s="10" t="s">
        <v>148</v>
      </c>
      <c r="BB24" s="10" t="s">
        <v>152</v>
      </c>
      <c r="BC24" s="10" t="s">
        <v>148</v>
      </c>
      <c r="BD24" s="10" t="s">
        <v>152</v>
      </c>
      <c r="BE24" s="10" t="s">
        <v>148</v>
      </c>
      <c r="BF24" s="10" t="s">
        <v>152</v>
      </c>
      <c r="BG24" s="10" t="s">
        <v>148</v>
      </c>
      <c r="BH24" s="10" t="s">
        <v>152</v>
      </c>
      <c r="BI24" s="10" t="s">
        <v>148</v>
      </c>
      <c r="BJ24" s="10" t="s">
        <v>152</v>
      </c>
      <c r="BK24" s="10" t="s">
        <v>148</v>
      </c>
      <c r="BL24" s="10" t="s">
        <v>152</v>
      </c>
      <c r="BM24" s="10" t="s">
        <v>148</v>
      </c>
      <c r="BN24" s="10" t="s">
        <v>152</v>
      </c>
      <c r="BO24" s="10" t="s">
        <v>148</v>
      </c>
      <c r="BP24" s="10" t="s">
        <v>152</v>
      </c>
      <c r="BQ24" s="10" t="s">
        <v>148</v>
      </c>
      <c r="BR24" s="10" t="s">
        <v>152</v>
      </c>
      <c r="BS24" s="10" t="s">
        <v>148</v>
      </c>
      <c r="BT24" s="10" t="s">
        <v>152</v>
      </c>
      <c r="BU24" s="13" t="s">
        <v>148</v>
      </c>
      <c r="BV24" s="13" t="s">
        <v>152</v>
      </c>
    </row>
    <row r="25" spans="1:74" x14ac:dyDescent="0.3">
      <c r="A25" s="3" t="s">
        <v>76</v>
      </c>
      <c r="K25" s="29"/>
      <c r="AD25" s="12" t="s">
        <v>103</v>
      </c>
      <c r="AE25" s="8" t="s">
        <v>50</v>
      </c>
      <c r="AF25" s="8" t="s">
        <v>51</v>
      </c>
      <c r="AG25" s="8">
        <v>2000</v>
      </c>
      <c r="AH25" s="8">
        <v>2000</v>
      </c>
      <c r="AI25" s="8">
        <f t="shared" si="9"/>
        <v>0</v>
      </c>
      <c r="AL25" s="3"/>
      <c r="AS25" s="10" t="s">
        <v>127</v>
      </c>
      <c r="AT25" s="10" t="s">
        <v>159</v>
      </c>
      <c r="AU25" s="10" t="s">
        <v>84</v>
      </c>
      <c r="AV25" s="10" t="s">
        <v>85</v>
      </c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3"/>
      <c r="BV25" s="13"/>
    </row>
    <row r="26" spans="1:74" x14ac:dyDescent="0.3">
      <c r="A26" s="3" t="s">
        <v>77</v>
      </c>
      <c r="K26" s="29"/>
      <c r="AD26" s="12"/>
      <c r="AE26" s="9" t="s">
        <v>28</v>
      </c>
      <c r="AF26" s="9" t="s">
        <v>5</v>
      </c>
      <c r="AG26" s="8">
        <v>2000</v>
      </c>
      <c r="AH26" s="8">
        <v>1500</v>
      </c>
      <c r="AI26" s="8">
        <f>AG26-AH26</f>
        <v>500</v>
      </c>
      <c r="AL26" s="3"/>
      <c r="AS26" s="10" t="s">
        <v>127</v>
      </c>
      <c r="AT26" s="10" t="s">
        <v>126</v>
      </c>
      <c r="AU26" s="10" t="s">
        <v>84</v>
      </c>
      <c r="AV26" s="10" t="s">
        <v>93</v>
      </c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3"/>
      <c r="BV26" s="13"/>
    </row>
    <row r="27" spans="1:74" x14ac:dyDescent="0.3">
      <c r="C27" s="15"/>
      <c r="D27" s="15"/>
      <c r="E27" s="15"/>
      <c r="F27" s="15"/>
      <c r="G27" s="15"/>
      <c r="H27" s="15"/>
      <c r="I27" s="15"/>
      <c r="J27" s="15"/>
      <c r="K27" s="29"/>
      <c r="AD27" s="12"/>
      <c r="AE27" s="9" t="s">
        <v>28</v>
      </c>
      <c r="AF27" s="9" t="s">
        <v>8</v>
      </c>
      <c r="AG27" s="8">
        <v>100</v>
      </c>
      <c r="AH27" s="8">
        <v>80</v>
      </c>
      <c r="AI27" s="8">
        <f t="shared" ref="AI27:AI28" si="10">AG27-AH27</f>
        <v>20</v>
      </c>
      <c r="AL27" s="3"/>
      <c r="AS27" s="10" t="s">
        <v>127</v>
      </c>
      <c r="AT27" s="10" t="s">
        <v>160</v>
      </c>
      <c r="AU27" s="10" t="s">
        <v>100</v>
      </c>
      <c r="AV27" s="10" t="s">
        <v>101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3"/>
      <c r="BV27" s="13"/>
    </row>
    <row r="28" spans="1:74" x14ac:dyDescent="0.3">
      <c r="A28" s="3" t="s">
        <v>196</v>
      </c>
      <c r="C28" s="15"/>
      <c r="D28" s="15"/>
      <c r="E28" s="15"/>
      <c r="F28" s="15"/>
      <c r="G28" s="15"/>
      <c r="H28" s="15"/>
      <c r="I28" s="15"/>
      <c r="J28" s="15"/>
      <c r="K28" s="29"/>
      <c r="AD28" s="12"/>
      <c r="AE28" s="9" t="s">
        <v>28</v>
      </c>
      <c r="AF28" s="9" t="s">
        <v>51</v>
      </c>
      <c r="AG28" s="8">
        <v>1000</v>
      </c>
      <c r="AH28" s="8">
        <v>1000</v>
      </c>
      <c r="AI28" s="8">
        <f t="shared" si="10"/>
        <v>0</v>
      </c>
      <c r="AS28" s="10" t="s">
        <v>127</v>
      </c>
      <c r="AT28" s="10" t="s">
        <v>160</v>
      </c>
      <c r="AU28" s="10" t="s">
        <v>100</v>
      </c>
      <c r="AV28" s="10" t="s">
        <v>102</v>
      </c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3"/>
      <c r="BV28" s="13"/>
    </row>
    <row r="29" spans="1:74" x14ac:dyDescent="0.3">
      <c r="C29" s="15"/>
      <c r="D29" s="15"/>
      <c r="E29" s="15"/>
      <c r="F29" s="15"/>
      <c r="G29" s="15"/>
      <c r="H29" s="15"/>
      <c r="I29" s="15"/>
      <c r="J29" s="15"/>
      <c r="K29" s="29"/>
      <c r="AS29" s="10" t="s">
        <v>57</v>
      </c>
      <c r="AT29" s="10" t="s">
        <v>104</v>
      </c>
      <c r="AU29" s="10" t="s">
        <v>94</v>
      </c>
      <c r="AV29" s="10" t="s">
        <v>95</v>
      </c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3"/>
      <c r="BV29" s="13"/>
    </row>
    <row r="30" spans="1:74" x14ac:dyDescent="0.3">
      <c r="C30" s="15"/>
      <c r="D30" s="15"/>
      <c r="E30" s="15"/>
      <c r="F30" s="15"/>
      <c r="G30" s="15"/>
      <c r="H30" s="15"/>
      <c r="I30" s="15"/>
      <c r="J30" s="15"/>
      <c r="K30" s="29"/>
      <c r="AD30" s="10" t="s">
        <v>107</v>
      </c>
      <c r="AE30" s="10" t="s">
        <v>32</v>
      </c>
      <c r="AF30" s="10" t="s">
        <v>6</v>
      </c>
      <c r="AG30" s="10" t="s">
        <v>34</v>
      </c>
      <c r="AH30" s="10" t="s">
        <v>111</v>
      </c>
      <c r="AI30" s="10" t="s">
        <v>112</v>
      </c>
      <c r="AS30" s="10" t="s">
        <v>57</v>
      </c>
      <c r="AT30" s="10" t="s">
        <v>104</v>
      </c>
      <c r="AU30" s="10" t="s">
        <v>94</v>
      </c>
      <c r="AV30" s="10" t="s">
        <v>96</v>
      </c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3"/>
      <c r="BV30" s="13"/>
    </row>
    <row r="31" spans="1:74" x14ac:dyDescent="0.3">
      <c r="AD31" s="10" t="s">
        <v>105</v>
      </c>
      <c r="AE31" s="10" t="s">
        <v>50</v>
      </c>
      <c r="AF31" s="10" t="s">
        <v>5</v>
      </c>
      <c r="AG31" s="10">
        <v>3000</v>
      </c>
      <c r="AH31" s="10">
        <v>2995</v>
      </c>
      <c r="AI31" s="10">
        <f>AG31-AH31</f>
        <v>5</v>
      </c>
      <c r="AS31" s="10" t="s">
        <v>57</v>
      </c>
      <c r="AT31" s="10" t="s">
        <v>161</v>
      </c>
      <c r="AU31" s="10" t="s">
        <v>133</v>
      </c>
      <c r="AV31" s="10" t="s">
        <v>135</v>
      </c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3"/>
      <c r="BV31" s="13"/>
    </row>
    <row r="32" spans="1:74" x14ac:dyDescent="0.3">
      <c r="AD32" s="10" t="s">
        <v>106</v>
      </c>
      <c r="AE32" s="10" t="s">
        <v>50</v>
      </c>
      <c r="AF32" s="10" t="s">
        <v>8</v>
      </c>
      <c r="AG32" s="10">
        <v>150</v>
      </c>
      <c r="AH32" s="10">
        <v>147</v>
      </c>
      <c r="AI32" s="10">
        <f t="shared" ref="AI32" si="11">AG32-AH32</f>
        <v>3</v>
      </c>
      <c r="AS32" s="10" t="s">
        <v>57</v>
      </c>
      <c r="AT32" s="10" t="s">
        <v>161</v>
      </c>
      <c r="AU32" s="10" t="s">
        <v>133</v>
      </c>
      <c r="AV32" s="10" t="s">
        <v>135</v>
      </c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3"/>
      <c r="BV32" s="13"/>
    </row>
    <row r="33" spans="15:74" x14ac:dyDescent="0.3">
      <c r="AD33" s="10" t="s">
        <v>109</v>
      </c>
      <c r="AE33" s="10" t="s">
        <v>50</v>
      </c>
      <c r="AF33" s="10" t="s">
        <v>51</v>
      </c>
      <c r="AG33" s="10"/>
      <c r="AH33" s="10">
        <v>2000</v>
      </c>
      <c r="AI33" s="10"/>
      <c r="AL33" s="3"/>
      <c r="AS33" s="10" t="s">
        <v>57</v>
      </c>
      <c r="AT33" s="10" t="s">
        <v>161</v>
      </c>
      <c r="AU33" s="10" t="s">
        <v>133</v>
      </c>
      <c r="AV33" s="10" t="s">
        <v>135</v>
      </c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3"/>
      <c r="BV33" s="13"/>
    </row>
    <row r="34" spans="15:74" x14ac:dyDescent="0.3">
      <c r="AD34" s="10" t="s">
        <v>110</v>
      </c>
      <c r="AE34" s="10" t="s">
        <v>28</v>
      </c>
      <c r="AF34" s="10" t="s">
        <v>5</v>
      </c>
      <c r="AG34" s="10">
        <v>2000</v>
      </c>
      <c r="AH34" s="10">
        <v>2000</v>
      </c>
      <c r="AI34" s="10">
        <f>AG34-AH34</f>
        <v>0</v>
      </c>
      <c r="AL34" s="3"/>
      <c r="AS34" s="10" t="s">
        <v>103</v>
      </c>
      <c r="AT34" s="10" t="s">
        <v>162</v>
      </c>
      <c r="AU34" s="10" t="s">
        <v>134</v>
      </c>
      <c r="AV34" s="10" t="s">
        <v>135</v>
      </c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3"/>
      <c r="BV34" s="13"/>
    </row>
    <row r="35" spans="15:74" x14ac:dyDescent="0.3">
      <c r="AD35" s="10"/>
      <c r="AE35" s="10" t="s">
        <v>28</v>
      </c>
      <c r="AF35" s="10" t="s">
        <v>8</v>
      </c>
      <c r="AG35" s="10">
        <v>100</v>
      </c>
      <c r="AH35" s="10">
        <v>99</v>
      </c>
      <c r="AI35" s="10">
        <f t="shared" ref="AI35" si="12">AG35-AH35</f>
        <v>1</v>
      </c>
      <c r="AL35" s="3"/>
      <c r="AS35" s="10" t="s">
        <v>103</v>
      </c>
      <c r="AT35" s="10" t="s">
        <v>162</v>
      </c>
      <c r="AU35" s="10" t="s">
        <v>134</v>
      </c>
      <c r="AV35" s="10" t="s">
        <v>135</v>
      </c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3"/>
      <c r="BV35" s="13"/>
    </row>
    <row r="36" spans="15:74" x14ac:dyDescent="0.3">
      <c r="AD36" s="10"/>
      <c r="AE36" s="10" t="s">
        <v>28</v>
      </c>
      <c r="AF36" s="10" t="s">
        <v>51</v>
      </c>
      <c r="AG36" s="10"/>
      <c r="AH36" s="10">
        <v>1000</v>
      </c>
      <c r="AI36" s="10"/>
      <c r="AL36" s="3"/>
      <c r="AS36" s="10" t="s">
        <v>103</v>
      </c>
      <c r="AT36" s="10" t="s">
        <v>163</v>
      </c>
      <c r="AU36" s="10" t="s">
        <v>134</v>
      </c>
      <c r="AV36" s="10" t="s">
        <v>135</v>
      </c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3"/>
      <c r="BV36" s="13"/>
    </row>
    <row r="37" spans="15:74" x14ac:dyDescent="0.3">
      <c r="AL37" s="3"/>
      <c r="AS37" s="10" t="s">
        <v>103</v>
      </c>
      <c r="AT37" s="10" t="s">
        <v>163</v>
      </c>
      <c r="AU37" s="10" t="s">
        <v>134</v>
      </c>
      <c r="AV37" s="10" t="s">
        <v>135</v>
      </c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3"/>
      <c r="BV37" s="13"/>
    </row>
    <row r="38" spans="15:74" x14ac:dyDescent="0.3">
      <c r="AD38" s="3"/>
      <c r="AE38" s="3"/>
      <c r="AF38" s="3"/>
      <c r="AG38" s="3"/>
      <c r="AH38" s="3"/>
      <c r="AI38" s="3"/>
      <c r="AS38" s="10" t="s">
        <v>103</v>
      </c>
      <c r="AT38" s="10" t="s">
        <v>163</v>
      </c>
      <c r="AU38" s="10" t="s">
        <v>134</v>
      </c>
      <c r="AV38" s="10" t="s">
        <v>135</v>
      </c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3"/>
      <c r="BV38" s="13"/>
    </row>
    <row r="39" spans="15:74" x14ac:dyDescent="0.3">
      <c r="AD39" s="3"/>
      <c r="AE39" s="3"/>
      <c r="AF39" s="3"/>
      <c r="AG39" s="3"/>
      <c r="AH39" s="3"/>
      <c r="AI39" s="3"/>
      <c r="AS39" s="10" t="s">
        <v>103</v>
      </c>
      <c r="AT39" s="10" t="s">
        <v>163</v>
      </c>
      <c r="AU39" s="10" t="s">
        <v>134</v>
      </c>
      <c r="AV39" s="10" t="s">
        <v>135</v>
      </c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3"/>
      <c r="BV39" s="13">
        <f>SUM(BV25:BV38)</f>
        <v>0</v>
      </c>
    </row>
    <row r="40" spans="15:74" x14ac:dyDescent="0.3">
      <c r="AD40" s="3"/>
      <c r="AE40" s="3"/>
      <c r="AF40" s="3"/>
      <c r="AG40" s="3"/>
      <c r="AH40" s="3"/>
      <c r="AI40" s="3"/>
    </row>
    <row r="41" spans="15:74" x14ac:dyDescent="0.3">
      <c r="AD41" s="3"/>
      <c r="AE41" s="3"/>
      <c r="AF41" s="3"/>
      <c r="AG41" s="3"/>
      <c r="AH41" s="3"/>
      <c r="AI41" s="3"/>
    </row>
    <row r="42" spans="15:74" x14ac:dyDescent="0.3">
      <c r="O42" s="3" t="s">
        <v>63</v>
      </c>
      <c r="AD42" s="3"/>
      <c r="AE42" s="3"/>
      <c r="AF42" s="3"/>
      <c r="AG42" s="3"/>
      <c r="AH42" s="3"/>
      <c r="AI42" s="3"/>
      <c r="AL42" s="3"/>
    </row>
    <row r="43" spans="15:74" x14ac:dyDescent="0.3">
      <c r="AD43" s="3"/>
      <c r="AE43" s="3"/>
      <c r="AF43" s="3"/>
      <c r="AG43" s="3"/>
      <c r="AH43" s="3"/>
      <c r="AI43" s="3"/>
    </row>
    <row r="44" spans="15:74" x14ac:dyDescent="0.3">
      <c r="AD44" s="3"/>
      <c r="AE44" s="3"/>
      <c r="AF44" s="3"/>
      <c r="AG44" s="3"/>
      <c r="AH44" s="3"/>
      <c r="AI44" s="3"/>
    </row>
  </sheetData>
  <mergeCells count="36">
    <mergeCell ref="F7:G8"/>
    <mergeCell ref="AL20:AM20"/>
    <mergeCell ref="AB16:AB17"/>
    <mergeCell ref="T16:T17"/>
    <mergeCell ref="N6:T7"/>
    <mergeCell ref="N18:T19"/>
    <mergeCell ref="V5:AB6"/>
    <mergeCell ref="V18:AB19"/>
    <mergeCell ref="F5:G6"/>
    <mergeCell ref="BG23:BH23"/>
    <mergeCell ref="AV3:AV4"/>
    <mergeCell ref="AW3:AX3"/>
    <mergeCell ref="AY3:AZ3"/>
    <mergeCell ref="BA3:BB3"/>
    <mergeCell ref="BC3:BD3"/>
    <mergeCell ref="AW23:AX23"/>
    <mergeCell ref="AY23:AZ23"/>
    <mergeCell ref="BA23:BB23"/>
    <mergeCell ref="BC23:BD23"/>
    <mergeCell ref="BE23:BF23"/>
    <mergeCell ref="BS23:BT23"/>
    <mergeCell ref="BU23:BV23"/>
    <mergeCell ref="AT3:AT4"/>
    <mergeCell ref="AS3:AS4"/>
    <mergeCell ref="AU3:AU4"/>
    <mergeCell ref="AS23:AS24"/>
    <mergeCell ref="AT23:AT24"/>
    <mergeCell ref="AU23:AU24"/>
    <mergeCell ref="BI23:BJ23"/>
    <mergeCell ref="BK23:BL23"/>
    <mergeCell ref="BM23:BN23"/>
    <mergeCell ref="BO23:BP23"/>
    <mergeCell ref="BQ23:BR23"/>
    <mergeCell ref="BE3:BF3"/>
    <mergeCell ref="BG3:BH3"/>
    <mergeCell ref="AV23:AV2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C728-9627-4C3D-829A-8BCA0E878459}">
  <dimension ref="A1:BV45"/>
  <sheetViews>
    <sheetView topLeftCell="AG4" workbookViewId="0">
      <selection activeCell="AK13" sqref="AK13"/>
    </sheetView>
  </sheetViews>
  <sheetFormatPr defaultRowHeight="16.5" x14ac:dyDescent="0.3"/>
  <cols>
    <col min="1" max="1" width="21.25" style="3" customWidth="1"/>
    <col min="2" max="2" width="3.375" style="2" customWidth="1"/>
    <col min="3" max="3" width="21.75" style="3" bestFit="1" customWidth="1"/>
    <col min="4" max="4" width="8.625" style="3" bestFit="1" customWidth="1"/>
    <col min="5" max="5" width="13.75" style="3" bestFit="1" customWidth="1"/>
    <col min="6" max="6" width="10.5" style="3" bestFit="1" customWidth="1"/>
    <col min="7" max="7" width="15.375" style="3" bestFit="1" customWidth="1"/>
    <col min="8" max="8" width="12.625" style="3" bestFit="1" customWidth="1"/>
    <col min="9" max="9" width="16.75" style="3" bestFit="1" customWidth="1"/>
    <col min="10" max="10" width="10.5" style="3" bestFit="1" customWidth="1"/>
    <col min="11" max="11" width="2.75" style="2" customWidth="1"/>
    <col min="12" max="12" width="14" style="2" customWidth="1"/>
    <col min="13" max="13" width="10.375" style="3" customWidth="1"/>
    <col min="14" max="14" width="9" style="3"/>
    <col min="15" max="15" width="10.5" style="3" customWidth="1"/>
    <col min="16" max="16" width="11.875" style="3" bestFit="1" customWidth="1"/>
    <col min="17" max="17" width="9.875" style="3" customWidth="1"/>
    <col min="18" max="18" width="14.25" style="3" customWidth="1"/>
    <col min="19" max="19" width="2.75" style="17" customWidth="1"/>
    <col min="20" max="21" width="12.625" style="3" customWidth="1"/>
    <col min="22" max="22" width="8.625" style="3" bestFit="1" customWidth="1"/>
    <col min="23" max="23" width="13" style="3" customWidth="1"/>
    <col min="24" max="24" width="13" style="3" bestFit="1" customWidth="1"/>
    <col min="25" max="25" width="7.5" style="3" customWidth="1"/>
    <col min="26" max="26" width="16.25" style="3" customWidth="1"/>
    <col min="27" max="27" width="2.75" style="17" customWidth="1"/>
    <col min="28" max="28" width="18.875" style="2" bestFit="1" customWidth="1"/>
    <col min="29" max="30" width="11" style="2" customWidth="1"/>
    <col min="31" max="31" width="11.875" style="2" customWidth="1"/>
    <col min="32" max="32" width="11" style="2" customWidth="1"/>
    <col min="33" max="33" width="11.75" style="2" customWidth="1"/>
    <col min="34" max="34" width="2.75" style="17" customWidth="1"/>
    <col min="35" max="35" width="16.75" style="3" bestFit="1" customWidth="1"/>
    <col min="36" max="36" width="12.625" style="2" bestFit="1" customWidth="1"/>
    <col min="37" max="37" width="18.75" style="3" customWidth="1"/>
    <col min="38" max="38" width="12" style="3" customWidth="1"/>
    <col min="39" max="39" width="4.125" style="3" customWidth="1"/>
    <col min="40" max="40" width="9" style="3"/>
    <col min="41" max="41" width="14.75" style="3" bestFit="1" customWidth="1"/>
    <col min="42" max="69" width="9" style="3"/>
    <col min="70" max="70" width="18.625" style="3" bestFit="1" customWidth="1"/>
    <col min="71" max="71" width="12.625" style="3" bestFit="1" customWidth="1"/>
    <col min="72" max="72" width="18.875" style="3" bestFit="1" customWidth="1"/>
    <col min="73" max="73" width="9" style="3"/>
    <col min="74" max="74" width="12.625" style="3" bestFit="1" customWidth="1"/>
    <col min="75" max="16384" width="9" style="3"/>
  </cols>
  <sheetData>
    <row r="1" spans="1:74" x14ac:dyDescent="0.3">
      <c r="A1" s="1" t="s">
        <v>185</v>
      </c>
      <c r="C1" s="1" t="s">
        <v>181</v>
      </c>
      <c r="D1" s="1"/>
      <c r="E1" s="1"/>
      <c r="F1" s="1"/>
      <c r="G1" s="1"/>
      <c r="H1" s="1"/>
      <c r="I1" s="1"/>
      <c r="J1" s="1"/>
      <c r="L1" s="1" t="s">
        <v>60</v>
      </c>
      <c r="M1" s="1"/>
      <c r="N1" s="1"/>
      <c r="O1" s="1"/>
      <c r="P1" s="1"/>
      <c r="Q1" s="1"/>
      <c r="R1" s="1"/>
      <c r="T1" s="1" t="s">
        <v>61</v>
      </c>
      <c r="U1" s="1"/>
      <c r="V1" s="1"/>
      <c r="W1" s="1"/>
      <c r="X1" s="1"/>
      <c r="Y1" s="1"/>
      <c r="Z1" s="1"/>
      <c r="AB1" s="1" t="s">
        <v>31</v>
      </c>
      <c r="AC1" s="1"/>
      <c r="AD1" s="1"/>
      <c r="AE1" s="1"/>
      <c r="AF1" s="1"/>
      <c r="AG1" s="1"/>
      <c r="AI1" s="22" t="s">
        <v>122</v>
      </c>
      <c r="AJ1" s="22"/>
      <c r="AK1" s="22"/>
      <c r="AL1" s="22"/>
      <c r="AN1" s="1" t="s">
        <v>114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R1" s="37" t="s">
        <v>167</v>
      </c>
      <c r="BS1" s="1"/>
      <c r="BT1" s="1"/>
      <c r="BU1" s="1"/>
      <c r="BV1" s="1"/>
    </row>
    <row r="2" spans="1:74" x14ac:dyDescent="0.3">
      <c r="A2" s="4" t="s">
        <v>184</v>
      </c>
      <c r="C2" s="21" t="s">
        <v>150</v>
      </c>
      <c r="D2" s="21" t="s">
        <v>88</v>
      </c>
      <c r="E2" s="21"/>
      <c r="F2" s="21"/>
      <c r="G2" s="21"/>
      <c r="L2" s="13" t="s">
        <v>6</v>
      </c>
      <c r="M2" s="13" t="s">
        <v>15</v>
      </c>
      <c r="N2" s="13" t="s">
        <v>16</v>
      </c>
      <c r="O2" s="13" t="s">
        <v>17</v>
      </c>
      <c r="P2" s="13" t="s">
        <v>18</v>
      </c>
      <c r="Q2" s="13" t="s">
        <v>19</v>
      </c>
      <c r="R2" s="13" t="s">
        <v>20</v>
      </c>
      <c r="T2" s="13" t="s">
        <v>6</v>
      </c>
      <c r="U2" s="13" t="s">
        <v>15</v>
      </c>
      <c r="V2" s="13" t="s">
        <v>16</v>
      </c>
      <c r="W2" s="13" t="s">
        <v>17</v>
      </c>
      <c r="X2" s="13" t="s">
        <v>18</v>
      </c>
      <c r="Y2" s="13" t="s">
        <v>19</v>
      </c>
      <c r="Z2" s="13" t="s">
        <v>20</v>
      </c>
      <c r="AB2" s="6" t="s">
        <v>37</v>
      </c>
      <c r="AC2" s="6" t="s">
        <v>38</v>
      </c>
      <c r="AD2" s="6" t="s">
        <v>39</v>
      </c>
      <c r="AE2" s="6" t="s">
        <v>40</v>
      </c>
      <c r="AF2" s="6" t="s">
        <v>41</v>
      </c>
      <c r="AG2" s="6" t="s">
        <v>42</v>
      </c>
      <c r="AI2" s="3" t="s">
        <v>115</v>
      </c>
      <c r="AJ2" s="3" t="s">
        <v>117</v>
      </c>
      <c r="AK2" s="3" t="s">
        <v>22</v>
      </c>
      <c r="AN2" s="54" t="s">
        <v>140</v>
      </c>
      <c r="AO2" s="54" t="s">
        <v>150</v>
      </c>
      <c r="AP2" s="54" t="s">
        <v>9</v>
      </c>
      <c r="AQ2" s="54" t="s">
        <v>142</v>
      </c>
      <c r="AR2" s="54"/>
      <c r="AS2" s="54" t="s">
        <v>143</v>
      </c>
      <c r="AT2" s="54"/>
      <c r="AU2" s="54" t="s">
        <v>144</v>
      </c>
      <c r="AV2" s="54"/>
      <c r="AW2" s="54" t="s">
        <v>145</v>
      </c>
      <c r="AX2" s="54"/>
      <c r="AY2" s="54" t="s">
        <v>146</v>
      </c>
      <c r="AZ2" s="54"/>
      <c r="BA2" s="55" t="s">
        <v>149</v>
      </c>
      <c r="BB2" s="55"/>
      <c r="BG2"/>
      <c r="BH2"/>
      <c r="BI2"/>
      <c r="BJ2"/>
      <c r="BK2"/>
      <c r="BL2"/>
      <c r="BM2"/>
      <c r="BN2"/>
      <c r="BO2"/>
      <c r="BP2"/>
      <c r="BR2" s="8" t="s">
        <v>20</v>
      </c>
      <c r="BS2" s="32" t="s">
        <v>166</v>
      </c>
      <c r="BT2" s="32" t="s">
        <v>165</v>
      </c>
      <c r="BU2" s="33" t="s">
        <v>168</v>
      </c>
      <c r="BV2" s="33" t="s">
        <v>164</v>
      </c>
    </row>
    <row r="3" spans="1:74" x14ac:dyDescent="0.3">
      <c r="A3" s="4" t="s">
        <v>172</v>
      </c>
      <c r="C3" s="21" t="s">
        <v>9</v>
      </c>
      <c r="D3" s="21" t="s">
        <v>88</v>
      </c>
      <c r="E3" s="21"/>
      <c r="F3" s="21"/>
      <c r="G3" s="21"/>
      <c r="L3" s="13" t="s">
        <v>5</v>
      </c>
      <c r="M3" s="13" t="s">
        <v>69</v>
      </c>
      <c r="N3" s="13"/>
      <c r="O3" s="13" t="s">
        <v>21</v>
      </c>
      <c r="P3" s="13"/>
      <c r="Q3" s="13"/>
      <c r="R3" s="13"/>
      <c r="T3" s="13" t="s">
        <v>5</v>
      </c>
      <c r="U3" s="13" t="s">
        <v>27</v>
      </c>
      <c r="V3" s="13"/>
      <c r="W3" s="13" t="s">
        <v>21</v>
      </c>
      <c r="X3" s="13"/>
      <c r="Y3" s="13"/>
      <c r="Z3" s="13"/>
      <c r="AB3" s="6" t="s">
        <v>43</v>
      </c>
      <c r="AC3" s="6" t="s">
        <v>44</v>
      </c>
      <c r="AD3" s="6" t="s">
        <v>45</v>
      </c>
      <c r="AE3" s="6" t="s">
        <v>46</v>
      </c>
      <c r="AF3" s="6" t="s">
        <v>47</v>
      </c>
      <c r="AG3" s="6" t="s">
        <v>48</v>
      </c>
      <c r="AJ3" s="3"/>
      <c r="AN3" s="54"/>
      <c r="AO3" s="54"/>
      <c r="AP3" s="54"/>
      <c r="AQ3" s="10" t="s">
        <v>148</v>
      </c>
      <c r="AR3" s="10" t="s">
        <v>152</v>
      </c>
      <c r="AS3" s="10" t="s">
        <v>148</v>
      </c>
      <c r="AT3" s="10" t="s">
        <v>152</v>
      </c>
      <c r="AU3" s="10" t="s">
        <v>148</v>
      </c>
      <c r="AV3" s="10" t="s">
        <v>152</v>
      </c>
      <c r="AW3" s="10" t="s">
        <v>148</v>
      </c>
      <c r="AX3" s="10" t="s">
        <v>152</v>
      </c>
      <c r="AY3" s="10" t="s">
        <v>148</v>
      </c>
      <c r="AZ3" s="10" t="s">
        <v>152</v>
      </c>
      <c r="BA3" s="13" t="s">
        <v>148</v>
      </c>
      <c r="BB3" s="13" t="s">
        <v>152</v>
      </c>
      <c r="BE3"/>
      <c r="BF3"/>
      <c r="BG3"/>
      <c r="BH3"/>
      <c r="BI3"/>
      <c r="BJ3"/>
      <c r="BK3"/>
      <c r="BL3"/>
      <c r="BM3"/>
      <c r="BN3"/>
      <c r="BO3"/>
      <c r="BP3"/>
      <c r="BR3" s="34">
        <v>45658</v>
      </c>
      <c r="BS3" s="31" t="s">
        <v>159</v>
      </c>
      <c r="BT3" s="31" t="s">
        <v>84</v>
      </c>
      <c r="BU3" s="31">
        <v>3</v>
      </c>
      <c r="BV3" s="31">
        <v>1</v>
      </c>
    </row>
    <row r="4" spans="1:74" x14ac:dyDescent="0.3">
      <c r="A4" s="4" t="s">
        <v>4</v>
      </c>
      <c r="C4" s="21" t="s">
        <v>10</v>
      </c>
      <c r="D4" s="21" t="s">
        <v>89</v>
      </c>
      <c r="E4" s="21"/>
      <c r="F4" s="21"/>
      <c r="G4" s="21"/>
      <c r="L4" s="13" t="s">
        <v>8</v>
      </c>
      <c r="M4" s="13" t="s">
        <v>24</v>
      </c>
      <c r="N4" s="13"/>
      <c r="O4" s="13"/>
      <c r="P4" s="13"/>
      <c r="Q4" s="13"/>
      <c r="R4" s="13"/>
      <c r="T4" s="13" t="s">
        <v>8</v>
      </c>
      <c r="U4" s="13"/>
      <c r="V4" s="13"/>
      <c r="W4" s="13"/>
      <c r="X4" s="13"/>
      <c r="Y4" s="13"/>
      <c r="Z4" s="13"/>
      <c r="AB4" s="7" t="s">
        <v>49</v>
      </c>
      <c r="AC4" s="7" t="s">
        <v>193</v>
      </c>
      <c r="AD4" s="7"/>
      <c r="AE4" s="7"/>
      <c r="AF4" s="7"/>
      <c r="AG4" s="7"/>
      <c r="AJ4" s="3"/>
      <c r="AN4" s="10" t="s">
        <v>159</v>
      </c>
      <c r="AO4" s="10" t="s">
        <v>84</v>
      </c>
      <c r="AP4" s="10" t="s">
        <v>85</v>
      </c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3"/>
      <c r="BB4" s="13"/>
      <c r="BE4"/>
      <c r="BF4"/>
      <c r="BG4"/>
      <c r="BH4"/>
      <c r="BI4"/>
      <c r="BJ4"/>
      <c r="BK4"/>
      <c r="BL4"/>
      <c r="BM4"/>
      <c r="BN4"/>
      <c r="BO4"/>
      <c r="BP4"/>
      <c r="BR4" s="34">
        <v>45659</v>
      </c>
      <c r="BS4" s="31" t="s">
        <v>126</v>
      </c>
      <c r="BT4" s="31" t="s">
        <v>84</v>
      </c>
      <c r="BU4" s="31">
        <v>2</v>
      </c>
      <c r="BV4" s="31">
        <v>2</v>
      </c>
    </row>
    <row r="5" spans="1:74" x14ac:dyDescent="0.3">
      <c r="A5" s="4" t="s">
        <v>170</v>
      </c>
      <c r="C5" s="21" t="s">
        <v>11</v>
      </c>
      <c r="D5" s="21" t="s">
        <v>90</v>
      </c>
      <c r="E5" s="21"/>
      <c r="F5" s="64" t="s">
        <v>186</v>
      </c>
      <c r="G5" s="64"/>
      <c r="L5" s="13"/>
      <c r="M5" s="13"/>
      <c r="N5" s="13"/>
      <c r="O5" s="13"/>
      <c r="P5" s="13"/>
      <c r="Q5" s="13"/>
      <c r="R5" s="13"/>
      <c r="T5" s="61" t="s">
        <v>189</v>
      </c>
      <c r="U5" s="61"/>
      <c r="V5" s="61"/>
      <c r="W5" s="61"/>
      <c r="X5" s="61"/>
      <c r="Y5" s="61"/>
      <c r="Z5" s="61"/>
      <c r="AB5" s="3"/>
      <c r="AC5" s="3"/>
      <c r="AD5" s="3"/>
      <c r="AE5" s="3"/>
      <c r="AF5" s="3"/>
      <c r="AI5" s="14" t="s">
        <v>6</v>
      </c>
      <c r="AJ5" s="11" t="s">
        <v>35</v>
      </c>
      <c r="AN5" s="10" t="s">
        <v>126</v>
      </c>
      <c r="AO5" s="10" t="s">
        <v>84</v>
      </c>
      <c r="AP5" s="10" t="s">
        <v>93</v>
      </c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3"/>
      <c r="BB5" s="13"/>
      <c r="BE5"/>
      <c r="BF5"/>
      <c r="BG5"/>
      <c r="BH5"/>
      <c r="BI5"/>
      <c r="BJ5"/>
      <c r="BK5"/>
      <c r="BL5"/>
      <c r="BM5"/>
      <c r="BN5"/>
      <c r="BO5"/>
      <c r="BP5"/>
      <c r="BR5" s="34">
        <v>45660</v>
      </c>
      <c r="BS5" s="31" t="s">
        <v>160</v>
      </c>
      <c r="BT5" s="31" t="s">
        <v>100</v>
      </c>
      <c r="BU5" s="31">
        <v>5</v>
      </c>
      <c r="BV5" s="31">
        <v>3</v>
      </c>
    </row>
    <row r="6" spans="1:74" x14ac:dyDescent="0.3">
      <c r="A6" s="4" t="s">
        <v>3</v>
      </c>
      <c r="C6" s="21" t="s">
        <v>12</v>
      </c>
      <c r="D6" s="21" t="s">
        <v>91</v>
      </c>
      <c r="E6" s="21"/>
      <c r="F6" s="64"/>
      <c r="G6" s="64"/>
      <c r="L6" s="61" t="s">
        <v>189</v>
      </c>
      <c r="M6" s="61"/>
      <c r="N6" s="61"/>
      <c r="O6" s="61"/>
      <c r="P6" s="61"/>
      <c r="Q6" s="61"/>
      <c r="R6" s="61"/>
      <c r="T6" s="61"/>
      <c r="U6" s="61"/>
      <c r="V6" s="61"/>
      <c r="W6" s="61"/>
      <c r="X6" s="61"/>
      <c r="Y6" s="61"/>
      <c r="Z6" s="61"/>
      <c r="AB6" s="8" t="s">
        <v>52</v>
      </c>
      <c r="AC6" s="8" t="s">
        <v>6</v>
      </c>
      <c r="AD6" s="8" t="s">
        <v>33</v>
      </c>
      <c r="AE6" s="8" t="s">
        <v>34</v>
      </c>
      <c r="AF6" s="8" t="s">
        <v>35</v>
      </c>
      <c r="AI6" s="14" t="s">
        <v>50</v>
      </c>
      <c r="AJ6" s="11">
        <v>1500</v>
      </c>
      <c r="AN6" s="10" t="s">
        <v>160</v>
      </c>
      <c r="AO6" s="10" t="s">
        <v>100</v>
      </c>
      <c r="AP6" s="10" t="s">
        <v>101</v>
      </c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3"/>
      <c r="BB6" s="13"/>
      <c r="BE6"/>
      <c r="BF6"/>
      <c r="BG6"/>
      <c r="BH6"/>
      <c r="BI6"/>
      <c r="BJ6"/>
      <c r="BK6"/>
      <c r="BL6"/>
      <c r="BM6"/>
      <c r="BN6"/>
      <c r="BO6"/>
      <c r="BP6"/>
      <c r="BR6" s="34">
        <v>45661</v>
      </c>
      <c r="BS6" s="31" t="s">
        <v>160</v>
      </c>
      <c r="BT6" s="31" t="s">
        <v>100</v>
      </c>
      <c r="BU6" s="31">
        <v>2</v>
      </c>
      <c r="BV6" s="31">
        <v>1</v>
      </c>
    </row>
    <row r="7" spans="1:74" x14ac:dyDescent="0.3">
      <c r="A7" s="4"/>
      <c r="C7" s="21" t="s">
        <v>13</v>
      </c>
      <c r="D7" s="21" t="s">
        <v>92</v>
      </c>
      <c r="E7" s="21"/>
      <c r="F7" s="56" t="s">
        <v>87</v>
      </c>
      <c r="G7" s="56"/>
      <c r="L7" s="61"/>
      <c r="M7" s="61"/>
      <c r="N7" s="61"/>
      <c r="O7" s="61"/>
      <c r="P7" s="61"/>
      <c r="Q7" s="61"/>
      <c r="R7" s="61"/>
      <c r="AB7" s="8" t="s">
        <v>50</v>
      </c>
      <c r="AC7" s="8" t="s">
        <v>5</v>
      </c>
      <c r="AD7" s="8">
        <v>100000</v>
      </c>
      <c r="AE7" s="8">
        <v>95000</v>
      </c>
      <c r="AF7" s="8">
        <f>AD7-AE7</f>
        <v>5000</v>
      </c>
      <c r="AI7" s="14" t="s">
        <v>28</v>
      </c>
      <c r="AJ7" s="11">
        <v>3500</v>
      </c>
      <c r="AN7" s="10" t="s">
        <v>160</v>
      </c>
      <c r="AO7" s="10" t="s">
        <v>100</v>
      </c>
      <c r="AP7" s="10" t="s">
        <v>102</v>
      </c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3"/>
      <c r="BB7" s="13"/>
      <c r="BE7"/>
      <c r="BF7"/>
      <c r="BG7"/>
      <c r="BH7"/>
      <c r="BI7"/>
      <c r="BJ7"/>
      <c r="BK7"/>
      <c r="BL7"/>
      <c r="BM7"/>
      <c r="BN7"/>
      <c r="BO7"/>
      <c r="BP7"/>
      <c r="BR7" s="34">
        <v>45662</v>
      </c>
      <c r="BS7" s="31" t="s">
        <v>104</v>
      </c>
      <c r="BT7" s="31" t="s">
        <v>94</v>
      </c>
      <c r="BU7" s="31">
        <v>1</v>
      </c>
      <c r="BV7" s="31">
        <v>324</v>
      </c>
    </row>
    <row r="8" spans="1:74" x14ac:dyDescent="0.3">
      <c r="C8" s="21" t="s">
        <v>14</v>
      </c>
      <c r="D8" s="21" t="s">
        <v>88</v>
      </c>
      <c r="E8" s="21"/>
      <c r="F8" s="56"/>
      <c r="G8" s="56"/>
      <c r="AB8" s="8" t="s">
        <v>50</v>
      </c>
      <c r="AC8" s="8" t="s">
        <v>8</v>
      </c>
      <c r="AD8" s="8">
        <v>1500</v>
      </c>
      <c r="AE8" s="8">
        <v>350</v>
      </c>
      <c r="AF8" s="8">
        <f t="shared" ref="AF8:AF9" si="0">AD8-AE8</f>
        <v>1150</v>
      </c>
      <c r="AI8" s="14" t="s">
        <v>29</v>
      </c>
      <c r="AJ8" s="11">
        <v>1200</v>
      </c>
      <c r="AN8" s="10" t="s">
        <v>104</v>
      </c>
      <c r="AO8" s="10" t="s">
        <v>94</v>
      </c>
      <c r="AP8" s="10" t="s">
        <v>95</v>
      </c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3"/>
      <c r="BB8" s="13"/>
      <c r="BE8"/>
      <c r="BF8"/>
      <c r="BG8"/>
      <c r="BH8"/>
      <c r="BI8"/>
      <c r="BJ8"/>
      <c r="BK8"/>
      <c r="BL8"/>
      <c r="BM8"/>
      <c r="BN8"/>
      <c r="BO8"/>
      <c r="BP8"/>
      <c r="BR8" s="34">
        <v>45663</v>
      </c>
      <c r="BS8" s="31" t="s">
        <v>104</v>
      </c>
      <c r="BT8" s="31" t="s">
        <v>94</v>
      </c>
      <c r="BU8" s="31">
        <v>3</v>
      </c>
      <c r="BV8" s="31">
        <v>35</v>
      </c>
    </row>
    <row r="9" spans="1:74" x14ac:dyDescent="0.3">
      <c r="AB9" s="8" t="s">
        <v>50</v>
      </c>
      <c r="AC9" s="8" t="s">
        <v>51</v>
      </c>
      <c r="AD9" s="8">
        <v>70000</v>
      </c>
      <c r="AE9" s="8">
        <v>70000</v>
      </c>
      <c r="AF9" s="8">
        <f t="shared" si="0"/>
        <v>0</v>
      </c>
      <c r="AI9" s="14" t="s">
        <v>56</v>
      </c>
      <c r="AJ9" s="11">
        <v>4800</v>
      </c>
      <c r="AN9" s="10" t="s">
        <v>104</v>
      </c>
      <c r="AO9" s="10" t="s">
        <v>94</v>
      </c>
      <c r="AP9" s="10" t="s">
        <v>96</v>
      </c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3"/>
      <c r="BB9" s="13"/>
      <c r="BE9"/>
      <c r="BF9"/>
      <c r="BG9"/>
      <c r="BH9"/>
      <c r="BI9"/>
      <c r="BJ9"/>
      <c r="BK9"/>
      <c r="BL9"/>
      <c r="BM9"/>
      <c r="BN9"/>
      <c r="BO9"/>
      <c r="BP9"/>
      <c r="BR9" s="34">
        <v>45664</v>
      </c>
      <c r="BS9" s="31" t="s">
        <v>161</v>
      </c>
      <c r="BT9" s="31" t="s">
        <v>133</v>
      </c>
      <c r="BU9" s="31">
        <v>3235</v>
      </c>
      <c r="BV9" s="31">
        <v>1</v>
      </c>
    </row>
    <row r="10" spans="1:74" x14ac:dyDescent="0.3">
      <c r="AB10" s="9" t="s">
        <v>28</v>
      </c>
      <c r="AC10" s="9" t="s">
        <v>5</v>
      </c>
      <c r="AD10" s="9">
        <v>100000</v>
      </c>
      <c r="AE10" s="9">
        <v>95000</v>
      </c>
      <c r="AF10" s="9">
        <f>AD10-AE10</f>
        <v>5000</v>
      </c>
      <c r="AN10" s="10" t="s">
        <v>161</v>
      </c>
      <c r="AO10" s="10" t="s">
        <v>133</v>
      </c>
      <c r="AP10" s="10" t="s">
        <v>135</v>
      </c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3"/>
      <c r="BB10" s="13"/>
      <c r="BE10"/>
      <c r="BF10"/>
      <c r="BG10"/>
      <c r="BH10"/>
      <c r="BI10"/>
      <c r="BJ10"/>
      <c r="BK10"/>
      <c r="BL10"/>
      <c r="BM10"/>
      <c r="BN10"/>
      <c r="BO10"/>
      <c r="BP10"/>
      <c r="BR10" s="34">
        <v>45665</v>
      </c>
      <c r="BS10" s="31" t="s">
        <v>161</v>
      </c>
      <c r="BT10" s="31" t="s">
        <v>133</v>
      </c>
      <c r="BU10" s="31">
        <v>354</v>
      </c>
      <c r="BV10" s="31">
        <v>3</v>
      </c>
    </row>
    <row r="11" spans="1:74" x14ac:dyDescent="0.3">
      <c r="L11" s="19" t="s">
        <v>190</v>
      </c>
      <c r="M11" s="19" t="s">
        <v>67</v>
      </c>
      <c r="N11" s="19" t="s">
        <v>59</v>
      </c>
      <c r="O11" s="19" t="s">
        <v>7</v>
      </c>
      <c r="P11" s="19" t="s">
        <v>66</v>
      </c>
      <c r="Q11" s="19" t="s">
        <v>65</v>
      </c>
      <c r="R11" s="19"/>
      <c r="T11" s="20" t="s">
        <v>36</v>
      </c>
      <c r="U11" s="20" t="s">
        <v>6</v>
      </c>
      <c r="V11" s="20" t="s">
        <v>59</v>
      </c>
      <c r="W11" s="20" t="s">
        <v>7</v>
      </c>
      <c r="X11" s="20" t="s">
        <v>66</v>
      </c>
      <c r="Y11" s="20" t="s">
        <v>73</v>
      </c>
      <c r="Z11" s="20"/>
      <c r="AB11" s="9" t="s">
        <v>28</v>
      </c>
      <c r="AC11" s="9" t="s">
        <v>8</v>
      </c>
      <c r="AD11" s="9">
        <v>0</v>
      </c>
      <c r="AE11" s="9">
        <v>0</v>
      </c>
      <c r="AF11" s="9">
        <f t="shared" ref="AF11:AF12" si="1">AD11-AE11</f>
        <v>0</v>
      </c>
      <c r="AJ11" s="3"/>
      <c r="AN11" s="10" t="s">
        <v>161</v>
      </c>
      <c r="AO11" s="10" t="s">
        <v>133</v>
      </c>
      <c r="AP11" s="10" t="s">
        <v>135</v>
      </c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3"/>
      <c r="BB11" s="13"/>
      <c r="BE11"/>
      <c r="BF11"/>
      <c r="BG11"/>
      <c r="BH11"/>
      <c r="BI11"/>
      <c r="BJ11"/>
      <c r="BK11"/>
      <c r="BL11"/>
      <c r="BM11"/>
      <c r="BN11"/>
      <c r="BO11"/>
      <c r="BP11"/>
      <c r="BR11" s="34">
        <v>45666</v>
      </c>
      <c r="BS11" s="31" t="s">
        <v>161</v>
      </c>
      <c r="BT11" s="31" t="s">
        <v>133</v>
      </c>
      <c r="BU11" s="31">
        <v>123</v>
      </c>
      <c r="BV11" s="31">
        <v>561</v>
      </c>
    </row>
    <row r="12" spans="1:74" x14ac:dyDescent="0.3">
      <c r="C12" s="14" t="s">
        <v>99</v>
      </c>
      <c r="D12" s="14" t="s">
        <v>9</v>
      </c>
      <c r="E12" s="14" t="s">
        <v>10</v>
      </c>
      <c r="F12" s="14" t="s">
        <v>83</v>
      </c>
      <c r="G12" s="14" t="s">
        <v>79</v>
      </c>
      <c r="H12" s="14" t="s">
        <v>80</v>
      </c>
      <c r="I12" s="14" t="s">
        <v>81</v>
      </c>
      <c r="J12" s="14" t="s">
        <v>82</v>
      </c>
      <c r="L12" s="19" t="s">
        <v>97</v>
      </c>
      <c r="M12" s="19" t="s">
        <v>50</v>
      </c>
      <c r="N12" s="19">
        <v>15</v>
      </c>
      <c r="O12" s="19">
        <v>45000</v>
      </c>
      <c r="P12" s="19">
        <f>N12*O12</f>
        <v>675000</v>
      </c>
      <c r="Q12" s="19"/>
      <c r="R12" s="19"/>
      <c r="T12" s="20" t="s">
        <v>127</v>
      </c>
      <c r="U12" s="20" t="s">
        <v>50</v>
      </c>
      <c r="V12" s="20">
        <v>120</v>
      </c>
      <c r="W12" s="20">
        <v>45000</v>
      </c>
      <c r="X12" s="20">
        <f>V12*W12</f>
        <v>5400000</v>
      </c>
      <c r="Y12" s="20"/>
      <c r="Z12" s="20"/>
      <c r="AB12" s="9" t="s">
        <v>28</v>
      </c>
      <c r="AC12" s="9" t="s">
        <v>51</v>
      </c>
      <c r="AD12" s="9">
        <v>70000</v>
      </c>
      <c r="AE12" s="9">
        <v>70000</v>
      </c>
      <c r="AF12" s="9">
        <f t="shared" si="1"/>
        <v>0</v>
      </c>
      <c r="AI12" s="14" t="s">
        <v>6</v>
      </c>
      <c r="AJ12" s="11" t="s">
        <v>58</v>
      </c>
      <c r="AK12" s="14" t="s">
        <v>197</v>
      </c>
      <c r="AL12" s="14" t="s">
        <v>128</v>
      </c>
      <c r="AN12" s="10" t="s">
        <v>161</v>
      </c>
      <c r="AO12" s="10" t="s">
        <v>133</v>
      </c>
      <c r="AP12" s="10" t="s">
        <v>135</v>
      </c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3"/>
      <c r="BB12" s="13"/>
      <c r="BE12"/>
      <c r="BF12"/>
      <c r="BG12"/>
      <c r="BH12"/>
      <c r="BI12"/>
      <c r="BJ12"/>
      <c r="BK12"/>
      <c r="BL12"/>
      <c r="BM12"/>
      <c r="BN12"/>
      <c r="BO12"/>
      <c r="BP12"/>
      <c r="BR12" s="34">
        <v>45667</v>
      </c>
      <c r="BS12" s="31" t="s">
        <v>162</v>
      </c>
      <c r="BT12" s="31" t="s">
        <v>134</v>
      </c>
      <c r="BU12" s="31">
        <v>1</v>
      </c>
      <c r="BV12" s="31">
        <v>3</v>
      </c>
    </row>
    <row r="13" spans="1:74" x14ac:dyDescent="0.3">
      <c r="C13" s="14" t="s">
        <v>84</v>
      </c>
      <c r="D13" s="14" t="s">
        <v>85</v>
      </c>
      <c r="E13" s="14" t="s">
        <v>58</v>
      </c>
      <c r="F13" s="14" t="s">
        <v>86</v>
      </c>
      <c r="G13" s="23" t="s">
        <v>98</v>
      </c>
      <c r="H13" s="24"/>
      <c r="I13" s="24"/>
      <c r="J13" s="24"/>
      <c r="L13" s="19" t="s">
        <v>86</v>
      </c>
      <c r="M13" s="19" t="s">
        <v>28</v>
      </c>
      <c r="N13" s="19">
        <v>20</v>
      </c>
      <c r="O13" s="19">
        <v>43000</v>
      </c>
      <c r="P13" s="19">
        <f>N13*O13</f>
        <v>860000</v>
      </c>
      <c r="Q13" s="19"/>
      <c r="R13" s="19"/>
      <c r="T13" s="20" t="s">
        <v>127</v>
      </c>
      <c r="U13" s="20" t="s">
        <v>28</v>
      </c>
      <c r="V13" s="20">
        <v>120</v>
      </c>
      <c r="W13" s="20">
        <v>43000</v>
      </c>
      <c r="X13" s="20">
        <f>V13*W13</f>
        <v>5160000</v>
      </c>
      <c r="Y13" s="20"/>
      <c r="Z13" s="20"/>
      <c r="AB13" s="3"/>
      <c r="AC13" s="3"/>
      <c r="AD13" s="3"/>
      <c r="AE13" s="3"/>
      <c r="AF13" s="3"/>
      <c r="AI13" s="14" t="s">
        <v>50</v>
      </c>
      <c r="AJ13" s="11">
        <f>AJ6*45000</f>
        <v>67500000</v>
      </c>
      <c r="AK13" s="14">
        <v>60000000</v>
      </c>
      <c r="AL13" s="14">
        <f>AJ13-AK13</f>
        <v>7500000</v>
      </c>
      <c r="AN13" s="10" t="s">
        <v>162</v>
      </c>
      <c r="AO13" s="10" t="s">
        <v>134</v>
      </c>
      <c r="AP13" s="10" t="s">
        <v>135</v>
      </c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3"/>
      <c r="BB13" s="13"/>
      <c r="BE13"/>
      <c r="BF13"/>
      <c r="BG13"/>
      <c r="BH13"/>
      <c r="BI13"/>
      <c r="BJ13"/>
      <c r="BK13"/>
      <c r="BL13"/>
      <c r="BM13"/>
      <c r="BN13"/>
      <c r="BO13"/>
      <c r="BP13"/>
      <c r="BR13" s="34">
        <v>45668</v>
      </c>
      <c r="BS13" s="31" t="s">
        <v>162</v>
      </c>
      <c r="BT13" s="31" t="s">
        <v>134</v>
      </c>
      <c r="BU13" s="31">
        <v>34</v>
      </c>
      <c r="BV13" s="31">
        <v>5</v>
      </c>
    </row>
    <row r="14" spans="1:74" x14ac:dyDescent="0.3">
      <c r="C14" s="14" t="s">
        <v>84</v>
      </c>
      <c r="D14" s="14" t="s">
        <v>93</v>
      </c>
      <c r="E14" s="14" t="s">
        <v>58</v>
      </c>
      <c r="F14" s="14" t="s">
        <v>86</v>
      </c>
      <c r="G14" s="24"/>
      <c r="H14" s="24"/>
      <c r="I14" s="24"/>
      <c r="J14" s="24"/>
      <c r="L14" s="19" t="s">
        <v>104</v>
      </c>
      <c r="M14" s="19" t="s">
        <v>29</v>
      </c>
      <c r="N14" s="19">
        <v>10</v>
      </c>
      <c r="O14" s="19">
        <v>51000</v>
      </c>
      <c r="P14" s="19">
        <f t="shared" ref="P14:P15" si="2">N14*O14</f>
        <v>510000</v>
      </c>
      <c r="Q14" s="19"/>
      <c r="R14" s="19"/>
      <c r="T14" s="20" t="s">
        <v>127</v>
      </c>
      <c r="U14" s="20" t="s">
        <v>29</v>
      </c>
      <c r="V14" s="20">
        <v>120</v>
      </c>
      <c r="W14" s="20">
        <v>51000</v>
      </c>
      <c r="X14" s="20">
        <f t="shared" ref="X14:X15" si="3">V14*W14</f>
        <v>6120000</v>
      </c>
      <c r="Y14" s="20"/>
      <c r="Z14" s="20"/>
      <c r="AB14" s="10" t="s">
        <v>107</v>
      </c>
      <c r="AC14" s="10" t="s">
        <v>32</v>
      </c>
      <c r="AD14" s="10" t="s">
        <v>6</v>
      </c>
      <c r="AE14" s="10" t="s">
        <v>34</v>
      </c>
      <c r="AF14" s="10" t="s">
        <v>111</v>
      </c>
      <c r="AG14" s="10" t="s">
        <v>112</v>
      </c>
      <c r="AI14" s="14" t="s">
        <v>28</v>
      </c>
      <c r="AJ14" s="11">
        <f>AJ7*45000</f>
        <v>157500000</v>
      </c>
      <c r="AK14" s="14">
        <v>150000000</v>
      </c>
      <c r="AL14" s="14">
        <f t="shared" ref="AL14:AL16" si="4">AJ14-AK14</f>
        <v>7500000</v>
      </c>
      <c r="AN14" s="10" t="s">
        <v>162</v>
      </c>
      <c r="AO14" s="10" t="s">
        <v>134</v>
      </c>
      <c r="AP14" s="10" t="s">
        <v>135</v>
      </c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3"/>
      <c r="BB14" s="13"/>
      <c r="BE14"/>
      <c r="BF14"/>
      <c r="BG14"/>
      <c r="BH14"/>
      <c r="BI14"/>
      <c r="BJ14"/>
      <c r="BK14"/>
      <c r="BL14"/>
      <c r="BM14"/>
      <c r="BN14"/>
      <c r="BO14"/>
      <c r="BP14"/>
      <c r="BR14" s="34">
        <v>45669</v>
      </c>
      <c r="BS14" s="31" t="s">
        <v>163</v>
      </c>
      <c r="BT14" s="31" t="s">
        <v>134</v>
      </c>
      <c r="BU14" s="31">
        <v>13</v>
      </c>
      <c r="BV14" s="31">
        <v>3</v>
      </c>
    </row>
    <row r="15" spans="1:74" x14ac:dyDescent="0.3">
      <c r="C15" s="14" t="s">
        <v>100</v>
      </c>
      <c r="D15" s="14" t="s">
        <v>101</v>
      </c>
      <c r="E15" s="14" t="s">
        <v>103</v>
      </c>
      <c r="F15" s="14" t="s">
        <v>104</v>
      </c>
      <c r="G15" s="14"/>
      <c r="H15" s="23" t="s">
        <v>98</v>
      </c>
      <c r="I15" s="23"/>
      <c r="J15" s="14"/>
      <c r="L15" s="19" t="s">
        <v>126</v>
      </c>
      <c r="M15" s="19" t="s">
        <v>30</v>
      </c>
      <c r="N15" s="19">
        <v>5</v>
      </c>
      <c r="O15" s="19">
        <v>45500</v>
      </c>
      <c r="P15" s="19">
        <f t="shared" si="2"/>
        <v>227500</v>
      </c>
      <c r="Q15" s="19"/>
      <c r="R15" s="19"/>
      <c r="T15" s="20" t="s">
        <v>127</v>
      </c>
      <c r="U15" s="20" t="s">
        <v>30</v>
      </c>
      <c r="V15" s="20">
        <v>120</v>
      </c>
      <c r="W15" s="20">
        <v>45500</v>
      </c>
      <c r="X15" s="20">
        <f t="shared" si="3"/>
        <v>5460000</v>
      </c>
      <c r="Y15" s="20"/>
      <c r="Z15" s="20"/>
      <c r="AB15" s="10" t="s">
        <v>105</v>
      </c>
      <c r="AC15" s="10" t="s">
        <v>50</v>
      </c>
      <c r="AD15" s="10" t="s">
        <v>5</v>
      </c>
      <c r="AE15" s="10">
        <v>3000</v>
      </c>
      <c r="AF15" s="10">
        <v>2995</v>
      </c>
      <c r="AG15" s="10">
        <f>AE15-AF15</f>
        <v>5</v>
      </c>
      <c r="AI15" s="14" t="s">
        <v>29</v>
      </c>
      <c r="AJ15" s="11">
        <f>AJ8*45000</f>
        <v>54000000</v>
      </c>
      <c r="AK15" s="14">
        <v>40000000</v>
      </c>
      <c r="AL15" s="14">
        <f t="shared" si="4"/>
        <v>14000000</v>
      </c>
      <c r="AN15" s="10" t="s">
        <v>163</v>
      </c>
      <c r="AO15" s="10" t="s">
        <v>134</v>
      </c>
      <c r="AP15" s="10" t="s">
        <v>135</v>
      </c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3"/>
      <c r="BB15" s="13"/>
      <c r="BE15"/>
      <c r="BF15"/>
      <c r="BG15"/>
      <c r="BH15"/>
      <c r="BI15"/>
      <c r="BJ15"/>
      <c r="BK15"/>
      <c r="BL15"/>
      <c r="BM15"/>
      <c r="BN15"/>
      <c r="BO15"/>
      <c r="BP15"/>
      <c r="BR15" s="34">
        <v>45670</v>
      </c>
      <c r="BS15" s="31" t="s">
        <v>163</v>
      </c>
      <c r="BT15" s="31" t="s">
        <v>134</v>
      </c>
      <c r="BU15" s="31">
        <v>123</v>
      </c>
      <c r="BV15" s="31">
        <v>21</v>
      </c>
    </row>
    <row r="16" spans="1:74" x14ac:dyDescent="0.3">
      <c r="C16" s="14" t="s">
        <v>100</v>
      </c>
      <c r="D16" s="14" t="s">
        <v>102</v>
      </c>
      <c r="E16" s="14" t="s">
        <v>103</v>
      </c>
      <c r="F16" s="14" t="s">
        <v>104</v>
      </c>
      <c r="G16" s="14"/>
      <c r="H16" s="14"/>
      <c r="I16" s="14"/>
      <c r="J16" s="23"/>
      <c r="L16" s="19"/>
      <c r="M16" s="19"/>
      <c r="N16" s="19"/>
      <c r="O16" s="19"/>
      <c r="P16" s="19"/>
      <c r="Q16" s="19"/>
      <c r="R16" s="60" t="s">
        <v>62</v>
      </c>
      <c r="S16" s="18"/>
      <c r="T16" s="20"/>
      <c r="U16" s="20"/>
      <c r="V16" s="20"/>
      <c r="W16" s="20"/>
      <c r="X16" s="20"/>
      <c r="Y16" s="20"/>
      <c r="Z16" s="59" t="s">
        <v>64</v>
      </c>
      <c r="AA16" s="18"/>
      <c r="AB16" s="10" t="s">
        <v>106</v>
      </c>
      <c r="AC16" s="10" t="s">
        <v>50</v>
      </c>
      <c r="AD16" s="10" t="s">
        <v>8</v>
      </c>
      <c r="AE16" s="10">
        <v>150</v>
      </c>
      <c r="AF16" s="10">
        <v>147</v>
      </c>
      <c r="AG16" s="10">
        <f t="shared" ref="AG16" si="5">AE16-AF16</f>
        <v>3</v>
      </c>
      <c r="AI16" s="14" t="s">
        <v>56</v>
      </c>
      <c r="AJ16" s="11">
        <f>AJ9*45000</f>
        <v>216000000</v>
      </c>
      <c r="AK16" s="14">
        <v>200000000</v>
      </c>
      <c r="AL16" s="14">
        <f t="shared" si="4"/>
        <v>16000000</v>
      </c>
      <c r="AN16" s="10" t="s">
        <v>163</v>
      </c>
      <c r="AO16" s="10" t="s">
        <v>134</v>
      </c>
      <c r="AP16" s="10" t="s">
        <v>135</v>
      </c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3"/>
      <c r="BB16" s="13"/>
      <c r="BE16"/>
      <c r="BF16"/>
      <c r="BG16"/>
      <c r="BH16"/>
      <c r="BI16"/>
      <c r="BJ16"/>
      <c r="BK16"/>
      <c r="BL16"/>
      <c r="BM16"/>
      <c r="BN16"/>
      <c r="BO16"/>
      <c r="BP16"/>
      <c r="BR16" s="34">
        <v>45671</v>
      </c>
      <c r="BS16" s="31" t="s">
        <v>163</v>
      </c>
      <c r="BT16" s="31" t="s">
        <v>134</v>
      </c>
      <c r="BU16" s="31">
        <v>535</v>
      </c>
      <c r="BV16" s="31">
        <v>4</v>
      </c>
    </row>
    <row r="17" spans="1:74" x14ac:dyDescent="0.3">
      <c r="C17" s="14" t="s">
        <v>94</v>
      </c>
      <c r="D17" s="14" t="s">
        <v>95</v>
      </c>
      <c r="E17" s="14" t="s">
        <v>57</v>
      </c>
      <c r="F17" s="14" t="s">
        <v>97</v>
      </c>
      <c r="G17" s="14"/>
      <c r="H17" s="14"/>
      <c r="I17" s="23" t="s">
        <v>98</v>
      </c>
      <c r="J17" s="14"/>
      <c r="L17" s="19" t="s">
        <v>68</v>
      </c>
      <c r="M17" s="19"/>
      <c r="N17" s="19"/>
      <c r="O17" s="19"/>
      <c r="P17" s="19">
        <f>SUM(P12:P16)</f>
        <v>2272500</v>
      </c>
      <c r="Q17" s="19"/>
      <c r="R17" s="60"/>
      <c r="S17" s="18"/>
      <c r="T17" s="20" t="s">
        <v>74</v>
      </c>
      <c r="U17" s="20"/>
      <c r="V17" s="20"/>
      <c r="W17" s="20"/>
      <c r="X17" s="20">
        <f>SUM(X12:X16)</f>
        <v>22140000</v>
      </c>
      <c r="Y17" s="20"/>
      <c r="Z17" s="59"/>
      <c r="AA17" s="18"/>
      <c r="AB17" s="10" t="s">
        <v>109</v>
      </c>
      <c r="AC17" s="10" t="s">
        <v>50</v>
      </c>
      <c r="AD17" s="10" t="s">
        <v>51</v>
      </c>
      <c r="AE17" s="10"/>
      <c r="AF17" s="10">
        <v>2000</v>
      </c>
      <c r="AG17" s="10"/>
      <c r="AL17" s="14" t="s">
        <v>121</v>
      </c>
      <c r="AN17" s="10" t="s">
        <v>163</v>
      </c>
      <c r="AO17" s="10" t="s">
        <v>134</v>
      </c>
      <c r="AP17" s="10" t="s">
        <v>135</v>
      </c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3"/>
      <c r="BB17" s="13"/>
      <c r="BE17"/>
      <c r="BF17"/>
      <c r="BG17"/>
      <c r="BH17"/>
      <c r="BI17"/>
      <c r="BJ17"/>
      <c r="BK17"/>
      <c r="BL17"/>
      <c r="BM17"/>
      <c r="BN17"/>
      <c r="BO17"/>
      <c r="BP17"/>
      <c r="BR17" s="34">
        <v>45672</v>
      </c>
      <c r="BS17" s="31" t="s">
        <v>163</v>
      </c>
      <c r="BT17" s="31" t="s">
        <v>134</v>
      </c>
      <c r="BU17" s="31">
        <v>25</v>
      </c>
      <c r="BV17" s="31">
        <v>1</v>
      </c>
    </row>
    <row r="18" spans="1:74" x14ac:dyDescent="0.3">
      <c r="C18" s="14" t="s">
        <v>94</v>
      </c>
      <c r="D18" s="14" t="s">
        <v>96</v>
      </c>
      <c r="E18" s="14" t="s">
        <v>57</v>
      </c>
      <c r="F18" s="14" t="s">
        <v>97</v>
      </c>
      <c r="G18" s="14"/>
      <c r="H18" s="14"/>
      <c r="I18" s="14"/>
      <c r="J18" s="23" t="s">
        <v>98</v>
      </c>
      <c r="L18" s="62" t="s">
        <v>191</v>
      </c>
      <c r="M18" s="62"/>
      <c r="N18" s="62"/>
      <c r="O18" s="62"/>
      <c r="P18" s="62"/>
      <c r="Q18" s="62"/>
      <c r="R18" s="62"/>
      <c r="T18" s="62" t="s">
        <v>192</v>
      </c>
      <c r="U18" s="62"/>
      <c r="V18" s="62"/>
      <c r="W18" s="62"/>
      <c r="X18" s="62"/>
      <c r="Y18" s="62"/>
      <c r="Z18" s="62"/>
      <c r="AB18" s="10" t="s">
        <v>110</v>
      </c>
      <c r="AC18" s="10" t="s">
        <v>28</v>
      </c>
      <c r="AD18" s="10" t="s">
        <v>5</v>
      </c>
      <c r="AE18" s="10">
        <v>2000</v>
      </c>
      <c r="AF18" s="10">
        <v>2000</v>
      </c>
      <c r="AG18" s="10">
        <f>AE18-AF18</f>
        <v>0</v>
      </c>
      <c r="AL18" s="14">
        <f>AL13+AL14+AL15+AL16</f>
        <v>45000000</v>
      </c>
      <c r="AN18" s="10" t="s">
        <v>163</v>
      </c>
      <c r="AO18" s="10" t="s">
        <v>134</v>
      </c>
      <c r="AP18" s="10" t="s">
        <v>135</v>
      </c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3"/>
      <c r="BB18" s="13">
        <f>SUM(BB4:BB17)</f>
        <v>0</v>
      </c>
      <c r="BE18"/>
      <c r="BF18"/>
      <c r="BG18"/>
      <c r="BH18"/>
      <c r="BI18"/>
      <c r="BJ18"/>
      <c r="BK18"/>
      <c r="BL18"/>
      <c r="BM18"/>
      <c r="BN18"/>
      <c r="BO18"/>
      <c r="BP18"/>
      <c r="BR18"/>
      <c r="BS18"/>
      <c r="BT18"/>
      <c r="BU18"/>
      <c r="BV18"/>
    </row>
    <row r="19" spans="1:74" x14ac:dyDescent="0.3">
      <c r="L19" s="63"/>
      <c r="M19" s="63"/>
      <c r="N19" s="63"/>
      <c r="O19" s="63"/>
      <c r="P19" s="63"/>
      <c r="Q19" s="63"/>
      <c r="R19" s="63"/>
      <c r="T19" s="63"/>
      <c r="U19" s="63"/>
      <c r="V19" s="63"/>
      <c r="W19" s="63"/>
      <c r="X19" s="63"/>
      <c r="Y19" s="63"/>
      <c r="Z19" s="63"/>
      <c r="AB19" s="10"/>
      <c r="AC19" s="10" t="s">
        <v>28</v>
      </c>
      <c r="AD19" s="10" t="s">
        <v>8</v>
      </c>
      <c r="AE19" s="10">
        <v>100</v>
      </c>
      <c r="AF19" s="10">
        <v>99</v>
      </c>
      <c r="AG19" s="10">
        <f t="shared" ref="AG19" si="6">AE19-AF19</f>
        <v>1</v>
      </c>
      <c r="AJ19" s="3"/>
      <c r="BC19" s="16"/>
      <c r="BF19"/>
      <c r="BG19"/>
      <c r="BH19"/>
      <c r="BI19"/>
      <c r="BJ19"/>
      <c r="BK19"/>
      <c r="BL19"/>
      <c r="BM19"/>
      <c r="BN19"/>
      <c r="BO19"/>
      <c r="BP19"/>
      <c r="BR19" s="35" t="s">
        <v>66</v>
      </c>
      <c r="BS19" s="35"/>
      <c r="BT19" s="35"/>
      <c r="BU19" s="36">
        <f>SUM(BU3:BU18)</f>
        <v>4459</v>
      </c>
      <c r="BV19" s="36">
        <f>SUM(BV3:BV18)</f>
        <v>968</v>
      </c>
    </row>
    <row r="20" spans="1:74" x14ac:dyDescent="0.3">
      <c r="AB20" s="10"/>
      <c r="AC20" s="10" t="s">
        <v>28</v>
      </c>
      <c r="AD20" s="10" t="s">
        <v>51</v>
      </c>
      <c r="AE20" s="10"/>
      <c r="AF20" s="10">
        <v>1000</v>
      </c>
      <c r="AG20" s="10"/>
      <c r="AJ20" s="3"/>
      <c r="BG20"/>
      <c r="BH20"/>
      <c r="BI20"/>
      <c r="BJ20"/>
      <c r="BK20"/>
      <c r="BL20"/>
      <c r="BM20"/>
      <c r="BN20"/>
      <c r="BO20"/>
      <c r="BP20"/>
    </row>
    <row r="21" spans="1:74" x14ac:dyDescent="0.3">
      <c r="AJ21" s="3"/>
      <c r="AN21" s="3" t="s">
        <v>158</v>
      </c>
      <c r="BG21"/>
      <c r="BH21"/>
      <c r="BI21"/>
      <c r="BJ21"/>
      <c r="BK21"/>
      <c r="BL21"/>
      <c r="BM21"/>
      <c r="BN21"/>
      <c r="BO21"/>
      <c r="BP21"/>
    </row>
    <row r="22" spans="1:74" x14ac:dyDescent="0.3">
      <c r="A22" s="3" t="s">
        <v>174</v>
      </c>
      <c r="C22" s="52"/>
      <c r="D22" s="52"/>
      <c r="E22" s="52"/>
      <c r="F22" s="52"/>
      <c r="G22" s="52"/>
      <c r="H22" s="52"/>
      <c r="I22" s="52"/>
      <c r="J22" s="52"/>
      <c r="AB22" s="3"/>
      <c r="AC22" s="3"/>
      <c r="AD22" s="3"/>
      <c r="AE22" s="3"/>
      <c r="AF22" s="3"/>
      <c r="AG22" s="3"/>
      <c r="AN22" s="54" t="s">
        <v>140</v>
      </c>
      <c r="AO22" s="54" t="s">
        <v>150</v>
      </c>
      <c r="AP22" s="54" t="s">
        <v>9</v>
      </c>
      <c r="AQ22" s="54" t="s">
        <v>153</v>
      </c>
      <c r="AR22" s="54"/>
      <c r="AS22" s="54" t="s">
        <v>154</v>
      </c>
      <c r="AT22" s="54"/>
      <c r="AU22" s="54" t="s">
        <v>155</v>
      </c>
      <c r="AV22" s="54"/>
      <c r="AW22" s="54" t="s">
        <v>40</v>
      </c>
      <c r="AX22" s="54"/>
      <c r="AY22" s="54" t="s">
        <v>41</v>
      </c>
      <c r="AZ22" s="54"/>
      <c r="BA22" s="54" t="s">
        <v>42</v>
      </c>
      <c r="BB22" s="54"/>
      <c r="BC22" s="54" t="s">
        <v>156</v>
      </c>
      <c r="BD22" s="54"/>
      <c r="BE22" s="54" t="s">
        <v>157</v>
      </c>
      <c r="BF22" s="54"/>
      <c r="BG22" s="54" t="s">
        <v>45</v>
      </c>
      <c r="BH22" s="54"/>
      <c r="BI22" s="54" t="s">
        <v>46</v>
      </c>
      <c r="BJ22" s="54"/>
      <c r="BK22" s="54" t="s">
        <v>47</v>
      </c>
      <c r="BL22" s="54"/>
      <c r="BM22" s="54" t="s">
        <v>48</v>
      </c>
      <c r="BN22" s="54"/>
      <c r="BO22" s="55" t="s">
        <v>149</v>
      </c>
      <c r="BP22" s="55"/>
    </row>
    <row r="23" spans="1:74" x14ac:dyDescent="0.3">
      <c r="C23" s="52"/>
      <c r="D23" s="52"/>
      <c r="E23" s="52"/>
      <c r="F23" s="52"/>
      <c r="G23" s="52"/>
      <c r="H23" s="52"/>
      <c r="I23" s="52"/>
      <c r="J23" s="52"/>
      <c r="AB23" s="3"/>
      <c r="AC23" s="3"/>
      <c r="AD23" s="3"/>
      <c r="AE23" s="3"/>
      <c r="AF23" s="3"/>
      <c r="AG23" s="3"/>
      <c r="AN23" s="54"/>
      <c r="AO23" s="54"/>
      <c r="AP23" s="54"/>
      <c r="AQ23" s="10" t="s">
        <v>148</v>
      </c>
      <c r="AR23" s="10" t="s">
        <v>152</v>
      </c>
      <c r="AS23" s="10" t="s">
        <v>148</v>
      </c>
      <c r="AT23" s="10" t="s">
        <v>152</v>
      </c>
      <c r="AU23" s="10" t="s">
        <v>148</v>
      </c>
      <c r="AV23" s="10" t="s">
        <v>152</v>
      </c>
      <c r="AW23" s="10" t="s">
        <v>148</v>
      </c>
      <c r="AX23" s="10" t="s">
        <v>152</v>
      </c>
      <c r="AY23" s="10" t="s">
        <v>148</v>
      </c>
      <c r="AZ23" s="10" t="s">
        <v>152</v>
      </c>
      <c r="BA23" s="10" t="s">
        <v>148</v>
      </c>
      <c r="BB23" s="10" t="s">
        <v>152</v>
      </c>
      <c r="BC23" s="10" t="s">
        <v>148</v>
      </c>
      <c r="BD23" s="10" t="s">
        <v>152</v>
      </c>
      <c r="BE23" s="10" t="s">
        <v>148</v>
      </c>
      <c r="BF23" s="10" t="s">
        <v>152</v>
      </c>
      <c r="BG23" s="10" t="s">
        <v>148</v>
      </c>
      <c r="BH23" s="10" t="s">
        <v>152</v>
      </c>
      <c r="BI23" s="10" t="s">
        <v>148</v>
      </c>
      <c r="BJ23" s="10" t="s">
        <v>152</v>
      </c>
      <c r="BK23" s="10" t="s">
        <v>148</v>
      </c>
      <c r="BL23" s="10" t="s">
        <v>152</v>
      </c>
      <c r="BM23" s="10" t="s">
        <v>148</v>
      </c>
      <c r="BN23" s="10" t="s">
        <v>152</v>
      </c>
      <c r="BO23" s="13" t="s">
        <v>148</v>
      </c>
      <c r="BP23" s="13" t="s">
        <v>152</v>
      </c>
    </row>
    <row r="24" spans="1:74" x14ac:dyDescent="0.3">
      <c r="C24" s="52"/>
      <c r="D24" s="52"/>
      <c r="E24" s="52"/>
      <c r="F24" s="52"/>
      <c r="G24" s="52"/>
      <c r="H24" s="52"/>
      <c r="I24" s="52"/>
      <c r="J24" s="52"/>
      <c r="AB24" s="3"/>
      <c r="AC24" s="3"/>
      <c r="AD24" s="3"/>
      <c r="AE24" s="3"/>
      <c r="AF24" s="3"/>
      <c r="AG24" s="3"/>
      <c r="AN24" s="10" t="s">
        <v>159</v>
      </c>
      <c r="AO24" s="10" t="s">
        <v>84</v>
      </c>
      <c r="AP24" s="10" t="s">
        <v>85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3"/>
      <c r="BP24" s="13"/>
    </row>
    <row r="25" spans="1:74" x14ac:dyDescent="0.3">
      <c r="C25" s="52"/>
      <c r="D25" s="52"/>
      <c r="E25" s="52"/>
      <c r="F25" s="52"/>
      <c r="G25" s="52"/>
      <c r="H25" s="52"/>
      <c r="I25" s="52"/>
      <c r="J25" s="52"/>
      <c r="AB25" s="3"/>
      <c r="AC25" s="3"/>
      <c r="AD25" s="3"/>
      <c r="AE25" s="3"/>
      <c r="AF25" s="3"/>
      <c r="AG25" s="3"/>
      <c r="AN25" s="10" t="s">
        <v>126</v>
      </c>
      <c r="AO25" s="10" t="s">
        <v>84</v>
      </c>
      <c r="AP25" s="10" t="s">
        <v>93</v>
      </c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3"/>
      <c r="BP25" s="13"/>
    </row>
    <row r="26" spans="1:74" x14ac:dyDescent="0.3">
      <c r="C26" s="15"/>
      <c r="D26" s="15"/>
      <c r="E26" s="15"/>
      <c r="F26" s="15"/>
      <c r="G26" s="15"/>
      <c r="H26" s="15"/>
      <c r="I26" s="15"/>
      <c r="J26" s="15"/>
      <c r="AB26" s="3"/>
      <c r="AC26" s="3"/>
      <c r="AD26" s="3"/>
      <c r="AE26" s="3"/>
      <c r="AF26" s="3"/>
      <c r="AG26" s="3"/>
      <c r="AN26" s="10" t="s">
        <v>160</v>
      </c>
      <c r="AO26" s="10" t="s">
        <v>100</v>
      </c>
      <c r="AP26" s="10" t="s">
        <v>101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3"/>
      <c r="BP26" s="13"/>
    </row>
    <row r="27" spans="1:74" x14ac:dyDescent="0.3">
      <c r="C27" s="15"/>
      <c r="D27" s="15"/>
      <c r="E27" s="15"/>
      <c r="F27" s="15"/>
      <c r="G27" s="15"/>
      <c r="H27" s="15"/>
      <c r="I27" s="15"/>
      <c r="J27" s="15"/>
      <c r="AB27" s="3"/>
      <c r="AC27" s="3"/>
      <c r="AD27" s="3"/>
      <c r="AE27" s="3"/>
      <c r="AF27" s="3"/>
      <c r="AG27" s="3"/>
      <c r="AJ27" s="3"/>
      <c r="AN27" s="10" t="s">
        <v>160</v>
      </c>
      <c r="AO27" s="10" t="s">
        <v>100</v>
      </c>
      <c r="AP27" s="10" t="s">
        <v>102</v>
      </c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3"/>
      <c r="BP27" s="13"/>
    </row>
    <row r="28" spans="1:74" x14ac:dyDescent="0.3">
      <c r="C28" s="15"/>
      <c r="D28" s="15"/>
      <c r="E28" s="15"/>
      <c r="F28" s="15"/>
      <c r="G28" s="15"/>
      <c r="H28" s="15"/>
      <c r="I28" s="15"/>
      <c r="J28" s="15"/>
      <c r="AN28" s="10" t="s">
        <v>104</v>
      </c>
      <c r="AO28" s="10" t="s">
        <v>94</v>
      </c>
      <c r="AP28" s="10" t="s">
        <v>95</v>
      </c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3"/>
      <c r="BP28" s="13"/>
    </row>
    <row r="29" spans="1:74" x14ac:dyDescent="0.3">
      <c r="C29" s="15"/>
      <c r="D29" s="15"/>
      <c r="E29" s="15"/>
      <c r="F29" s="15"/>
      <c r="G29" s="15"/>
      <c r="H29" s="15"/>
      <c r="I29" s="15"/>
      <c r="J29" s="15"/>
      <c r="AN29" s="10" t="s">
        <v>104</v>
      </c>
      <c r="AO29" s="10" t="s">
        <v>94</v>
      </c>
      <c r="AP29" s="10" t="s">
        <v>96</v>
      </c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3"/>
      <c r="BP29" s="13"/>
    </row>
    <row r="30" spans="1:74" x14ac:dyDescent="0.3">
      <c r="C30" s="15"/>
      <c r="D30" s="15"/>
      <c r="E30" s="15"/>
      <c r="F30" s="15"/>
      <c r="G30" s="15"/>
      <c r="H30" s="15"/>
      <c r="I30" s="15"/>
      <c r="J30" s="15"/>
      <c r="AN30" s="10" t="s">
        <v>161</v>
      </c>
      <c r="AO30" s="10" t="s">
        <v>133</v>
      </c>
      <c r="AP30" s="10" t="s">
        <v>135</v>
      </c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3"/>
      <c r="BP30" s="13"/>
    </row>
    <row r="31" spans="1:74" x14ac:dyDescent="0.3">
      <c r="AN31" s="10" t="s">
        <v>161</v>
      </c>
      <c r="AO31" s="10" t="s">
        <v>133</v>
      </c>
      <c r="AP31" s="10" t="s">
        <v>135</v>
      </c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3"/>
      <c r="BP31" s="13"/>
    </row>
    <row r="32" spans="1:74" x14ac:dyDescent="0.3">
      <c r="A32" s="3" t="s">
        <v>76</v>
      </c>
      <c r="AN32" s="10" t="s">
        <v>161</v>
      </c>
      <c r="AO32" s="10" t="s">
        <v>133</v>
      </c>
      <c r="AP32" s="10" t="s">
        <v>135</v>
      </c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3"/>
      <c r="BP32" s="13"/>
    </row>
    <row r="33" spans="1:68" x14ac:dyDescent="0.3">
      <c r="A33" s="3" t="s">
        <v>77</v>
      </c>
      <c r="AJ33" s="3"/>
      <c r="AN33" s="10" t="s">
        <v>162</v>
      </c>
      <c r="AO33" s="10" t="s">
        <v>134</v>
      </c>
      <c r="AP33" s="10" t="s">
        <v>135</v>
      </c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3"/>
      <c r="BP33" s="13"/>
    </row>
    <row r="34" spans="1:68" x14ac:dyDescent="0.3">
      <c r="AJ34" s="3"/>
      <c r="AN34" s="10" t="s">
        <v>162</v>
      </c>
      <c r="AO34" s="10" t="s">
        <v>134</v>
      </c>
      <c r="AP34" s="10" t="s">
        <v>135</v>
      </c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3"/>
      <c r="BP34" s="13"/>
    </row>
    <row r="35" spans="1:68" x14ac:dyDescent="0.3">
      <c r="AJ35" s="3"/>
      <c r="AN35" s="10" t="s">
        <v>163</v>
      </c>
      <c r="AO35" s="10" t="s">
        <v>134</v>
      </c>
      <c r="AP35" s="10" t="s">
        <v>135</v>
      </c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3"/>
      <c r="BP35" s="13"/>
    </row>
    <row r="36" spans="1:68" x14ac:dyDescent="0.3">
      <c r="AJ36" s="3"/>
      <c r="AN36" s="10" t="s">
        <v>163</v>
      </c>
      <c r="AO36" s="10" t="s">
        <v>134</v>
      </c>
      <c r="AP36" s="10" t="s">
        <v>135</v>
      </c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3"/>
      <c r="BP36" s="13"/>
    </row>
    <row r="37" spans="1:68" x14ac:dyDescent="0.3">
      <c r="AB37" s="3"/>
      <c r="AC37" s="3"/>
      <c r="AD37" s="3"/>
      <c r="AE37" s="3"/>
      <c r="AF37" s="3"/>
      <c r="AG37" s="3"/>
      <c r="AJ37" s="3"/>
      <c r="AN37" s="10" t="s">
        <v>163</v>
      </c>
      <c r="AO37" s="10" t="s">
        <v>134</v>
      </c>
      <c r="AP37" s="10" t="s">
        <v>135</v>
      </c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3"/>
      <c r="BP37" s="13"/>
    </row>
    <row r="38" spans="1:68" x14ac:dyDescent="0.3">
      <c r="AB38" s="3"/>
      <c r="AC38" s="3"/>
      <c r="AD38" s="3"/>
      <c r="AE38" s="3"/>
      <c r="AF38" s="3"/>
      <c r="AG38" s="3"/>
      <c r="AJ38" s="3"/>
      <c r="AN38" s="10" t="s">
        <v>163</v>
      </c>
      <c r="AO38" s="10" t="s">
        <v>134</v>
      </c>
      <c r="AP38" s="10" t="s">
        <v>135</v>
      </c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3"/>
      <c r="BP38" s="13">
        <f>SUM(BP24:BP37)</f>
        <v>0</v>
      </c>
    </row>
    <row r="39" spans="1:68" x14ac:dyDescent="0.3">
      <c r="AB39" s="3"/>
      <c r="AC39" s="3"/>
      <c r="AD39" s="3"/>
      <c r="AE39" s="3"/>
      <c r="AF39" s="3"/>
      <c r="AG39" s="3"/>
      <c r="AJ39" s="3"/>
    </row>
    <row r="40" spans="1:68" x14ac:dyDescent="0.3">
      <c r="AB40" s="3"/>
      <c r="AC40" s="3"/>
      <c r="AD40" s="3"/>
      <c r="AE40" s="3"/>
      <c r="AF40" s="3"/>
      <c r="AG40" s="3"/>
      <c r="AJ40" s="3"/>
    </row>
    <row r="41" spans="1:68" x14ac:dyDescent="0.3">
      <c r="AB41" s="3"/>
      <c r="AC41" s="3"/>
      <c r="AD41" s="3"/>
      <c r="AE41" s="3"/>
      <c r="AF41" s="3"/>
      <c r="AG41" s="3"/>
      <c r="AJ41" s="3"/>
    </row>
    <row r="42" spans="1:68" x14ac:dyDescent="0.3">
      <c r="M42" s="3" t="s">
        <v>63</v>
      </c>
      <c r="AB42" s="3"/>
      <c r="AC42" s="3"/>
      <c r="AD42" s="3"/>
      <c r="AE42" s="3"/>
      <c r="AF42" s="3"/>
      <c r="AG42" s="3"/>
      <c r="AJ42" s="3"/>
    </row>
    <row r="43" spans="1:68" x14ac:dyDescent="0.3">
      <c r="AB43" s="3"/>
      <c r="AC43" s="3"/>
      <c r="AD43" s="3"/>
      <c r="AE43" s="3"/>
      <c r="AF43" s="3"/>
      <c r="AG43" s="3"/>
    </row>
    <row r="44" spans="1:68" x14ac:dyDescent="0.3">
      <c r="AB44" s="3"/>
      <c r="AC44" s="3"/>
      <c r="AD44" s="3"/>
      <c r="AE44" s="3"/>
      <c r="AF44" s="3"/>
      <c r="AG44" s="3"/>
    </row>
    <row r="45" spans="1:68" x14ac:dyDescent="0.3">
      <c r="AB45" s="3"/>
      <c r="AC45" s="3"/>
      <c r="AD45" s="3"/>
      <c r="AE45" s="3"/>
      <c r="AF45" s="3"/>
      <c r="AG45" s="3"/>
    </row>
  </sheetData>
  <mergeCells count="33">
    <mergeCell ref="T5:Z6"/>
    <mergeCell ref="L6:R7"/>
    <mergeCell ref="R16:R17"/>
    <mergeCell ref="Z16:Z17"/>
    <mergeCell ref="L18:R19"/>
    <mergeCell ref="T18:Z19"/>
    <mergeCell ref="AY2:AZ2"/>
    <mergeCell ref="BA2:BB2"/>
    <mergeCell ref="AN2:AN3"/>
    <mergeCell ref="AO2:AO3"/>
    <mergeCell ref="AP2:AP3"/>
    <mergeCell ref="AQ2:AR2"/>
    <mergeCell ref="AP22:AP23"/>
    <mergeCell ref="AQ22:AR22"/>
    <mergeCell ref="AS2:AT2"/>
    <mergeCell ref="AU2:AV2"/>
    <mergeCell ref="AW2:AX2"/>
    <mergeCell ref="BM22:BN22"/>
    <mergeCell ref="BO22:BP22"/>
    <mergeCell ref="F7:G8"/>
    <mergeCell ref="F5:G6"/>
    <mergeCell ref="BC22:BD22"/>
    <mergeCell ref="BE22:BF22"/>
    <mergeCell ref="BG22:BH22"/>
    <mergeCell ref="BI22:BJ22"/>
    <mergeCell ref="BK22:BL22"/>
    <mergeCell ref="AS22:AT22"/>
    <mergeCell ref="AU22:AV22"/>
    <mergeCell ref="AW22:AX22"/>
    <mergeCell ref="AY22:AZ22"/>
    <mergeCell ref="BA22:BB22"/>
    <mergeCell ref="AN22:AN23"/>
    <mergeCell ref="AO22:AO2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C509-E3E8-4397-838A-6816935FC22A}">
  <dimension ref="A1:Y30"/>
  <sheetViews>
    <sheetView workbookViewId="0">
      <selection activeCell="B1" sqref="B1:J9"/>
    </sheetView>
  </sheetViews>
  <sheetFormatPr defaultRowHeight="16.5" x14ac:dyDescent="0.3"/>
  <cols>
    <col min="1" max="1" width="3.375" style="2" customWidth="1"/>
    <col min="2" max="2" width="21.75" style="3" bestFit="1" customWidth="1"/>
    <col min="3" max="3" width="11" style="3" customWidth="1"/>
    <col min="4" max="4" width="13.75" style="3" bestFit="1" customWidth="1"/>
    <col min="5" max="5" width="10.5" style="3" bestFit="1" customWidth="1"/>
    <col min="6" max="6" width="15.375" style="3" bestFit="1" customWidth="1"/>
    <col min="7" max="7" width="12.625" style="3" bestFit="1" customWidth="1"/>
    <col min="8" max="8" width="16.75" style="3" bestFit="1" customWidth="1"/>
    <col min="9" max="9" width="10.5" style="3" bestFit="1" customWidth="1"/>
    <col min="10" max="10" width="14.75" style="3" bestFit="1" customWidth="1"/>
    <col min="11" max="11" width="2.75" style="2" customWidth="1"/>
    <col min="12" max="12" width="9" style="3"/>
    <col min="13" max="13" width="18.5" style="3" customWidth="1"/>
    <col min="14" max="20" width="9" style="3"/>
    <col min="21" max="21" width="14.125" style="3" customWidth="1"/>
    <col min="22" max="16384" width="9" style="3"/>
  </cols>
  <sheetData>
    <row r="1" spans="2:25" x14ac:dyDescent="0.3">
      <c r="B1" s="1" t="s">
        <v>78</v>
      </c>
      <c r="C1" s="1"/>
      <c r="D1" s="1"/>
      <c r="E1" s="1"/>
      <c r="F1" s="1"/>
      <c r="G1" s="1"/>
      <c r="H1" s="1"/>
      <c r="I1" s="1"/>
      <c r="J1" s="1"/>
      <c r="M1" s="1" t="s">
        <v>136</v>
      </c>
      <c r="N1" s="1"/>
      <c r="O1" s="1"/>
      <c r="P1" s="1"/>
      <c r="Q1" s="1"/>
      <c r="R1" s="1"/>
      <c r="U1" s="1" t="s">
        <v>113</v>
      </c>
      <c r="V1" s="1"/>
      <c r="W1" s="1"/>
      <c r="X1" s="1"/>
      <c r="Y1" s="1"/>
    </row>
    <row r="2" spans="2:25" x14ac:dyDescent="0.3">
      <c r="B2" s="14" t="s">
        <v>99</v>
      </c>
      <c r="C2" s="14" t="s">
        <v>9</v>
      </c>
      <c r="D2" s="14" t="s">
        <v>10</v>
      </c>
      <c r="E2" s="14" t="s">
        <v>83</v>
      </c>
      <c r="F2" s="14" t="s">
        <v>203</v>
      </c>
      <c r="G2" s="14" t="s">
        <v>80</v>
      </c>
      <c r="H2" s="14" t="s">
        <v>81</v>
      </c>
      <c r="I2" s="14" t="s">
        <v>82</v>
      </c>
      <c r="J2" s="14" t="s">
        <v>199</v>
      </c>
    </row>
    <row r="3" spans="2:25" x14ac:dyDescent="0.3">
      <c r="B3" s="14" t="s">
        <v>84</v>
      </c>
      <c r="C3" s="14" t="s">
        <v>85</v>
      </c>
      <c r="D3" s="14" t="s">
        <v>58</v>
      </c>
      <c r="E3" s="14" t="s">
        <v>86</v>
      </c>
      <c r="F3" s="23" t="s">
        <v>98</v>
      </c>
      <c r="G3" s="24"/>
      <c r="H3" s="24"/>
      <c r="I3" s="24"/>
      <c r="J3" s="24"/>
      <c r="M3" s="3" t="s">
        <v>131</v>
      </c>
      <c r="U3" s="3" t="s">
        <v>137</v>
      </c>
    </row>
    <row r="4" spans="2:25" x14ac:dyDescent="0.3">
      <c r="B4" s="14" t="s">
        <v>84</v>
      </c>
      <c r="C4" s="14" t="s">
        <v>93</v>
      </c>
      <c r="D4" s="14" t="s">
        <v>58</v>
      </c>
      <c r="E4" s="14" t="s">
        <v>86</v>
      </c>
      <c r="F4" s="24"/>
      <c r="G4" s="24"/>
      <c r="H4" s="24"/>
      <c r="I4" s="24"/>
      <c r="J4" s="23" t="s">
        <v>98</v>
      </c>
      <c r="M4" s="8" t="s">
        <v>32</v>
      </c>
      <c r="N4" s="8" t="s">
        <v>9</v>
      </c>
      <c r="O4" s="8" t="s">
        <v>0</v>
      </c>
      <c r="P4" s="8" t="s">
        <v>51</v>
      </c>
      <c r="Q4" s="65" t="s">
        <v>132</v>
      </c>
      <c r="R4" s="65"/>
      <c r="U4" s="10" t="s">
        <v>32</v>
      </c>
      <c r="V4" s="10" t="s">
        <v>9</v>
      </c>
      <c r="W4" s="10" t="s">
        <v>1</v>
      </c>
      <c r="X4" s="10" t="s">
        <v>111</v>
      </c>
      <c r="Y4" s="10" t="s">
        <v>138</v>
      </c>
    </row>
    <row r="5" spans="2:25" x14ac:dyDescent="0.3">
      <c r="B5" s="14" t="s">
        <v>100</v>
      </c>
      <c r="C5" s="14" t="s">
        <v>101</v>
      </c>
      <c r="D5" s="14" t="s">
        <v>58</v>
      </c>
      <c r="E5" s="14" t="s">
        <v>86</v>
      </c>
      <c r="F5" s="14"/>
      <c r="G5" s="23" t="s">
        <v>98</v>
      </c>
      <c r="H5" s="23"/>
      <c r="I5" s="14"/>
      <c r="J5" s="14"/>
      <c r="M5" s="8" t="s">
        <v>84</v>
      </c>
      <c r="N5" s="8" t="s">
        <v>85</v>
      </c>
      <c r="O5" s="8">
        <v>4</v>
      </c>
      <c r="P5" s="8">
        <v>2</v>
      </c>
      <c r="Q5" s="65"/>
      <c r="R5" s="65"/>
      <c r="U5" s="10" t="s">
        <v>84</v>
      </c>
      <c r="V5" s="10" t="s">
        <v>85</v>
      </c>
      <c r="W5" s="10">
        <v>50</v>
      </c>
      <c r="X5" s="10">
        <v>50</v>
      </c>
      <c r="Y5" s="10">
        <f>W5-X5</f>
        <v>0</v>
      </c>
    </row>
    <row r="6" spans="2:25" x14ac:dyDescent="0.3">
      <c r="B6" s="14" t="s">
        <v>100</v>
      </c>
      <c r="C6" s="14" t="s">
        <v>102</v>
      </c>
      <c r="D6" s="14" t="s">
        <v>58</v>
      </c>
      <c r="E6" s="14" t="s">
        <v>86</v>
      </c>
      <c r="F6" s="14"/>
      <c r="G6" s="14"/>
      <c r="H6" s="14"/>
      <c r="I6" s="23"/>
      <c r="J6" s="23"/>
      <c r="M6" s="2"/>
      <c r="N6" s="26" t="s">
        <v>93</v>
      </c>
      <c r="O6" s="2"/>
      <c r="P6" s="2"/>
      <c r="U6" s="10"/>
      <c r="V6" s="10" t="s">
        <v>93</v>
      </c>
      <c r="W6" s="10">
        <v>40</v>
      </c>
      <c r="X6" s="10">
        <v>39</v>
      </c>
      <c r="Y6" s="10">
        <f t="shared" ref="Y6:Y18" si="0">W6-X6</f>
        <v>1</v>
      </c>
    </row>
    <row r="7" spans="2:25" x14ac:dyDescent="0.3">
      <c r="B7" s="14" t="s">
        <v>94</v>
      </c>
      <c r="C7" s="14" t="s">
        <v>95</v>
      </c>
      <c r="D7" s="14" t="s">
        <v>58</v>
      </c>
      <c r="E7" s="14" t="s">
        <v>86</v>
      </c>
      <c r="F7" s="14"/>
      <c r="G7" s="14"/>
      <c r="H7" s="23" t="s">
        <v>98</v>
      </c>
      <c r="I7" s="14"/>
      <c r="J7" s="14"/>
      <c r="M7" s="14" t="s">
        <v>100</v>
      </c>
      <c r="N7" s="14" t="s">
        <v>101</v>
      </c>
      <c r="U7" s="10" t="s">
        <v>100</v>
      </c>
      <c r="V7" s="10" t="s">
        <v>101</v>
      </c>
      <c r="W7" s="10">
        <v>40</v>
      </c>
      <c r="X7" s="10">
        <v>40</v>
      </c>
      <c r="Y7" s="10">
        <f t="shared" si="0"/>
        <v>0</v>
      </c>
    </row>
    <row r="8" spans="2:25" x14ac:dyDescent="0.3">
      <c r="B8" s="14" t="s">
        <v>94</v>
      </c>
      <c r="C8" s="14" t="s">
        <v>96</v>
      </c>
      <c r="D8" s="14" t="s">
        <v>58</v>
      </c>
      <c r="E8" s="14" t="s">
        <v>86</v>
      </c>
      <c r="F8" s="14"/>
      <c r="G8" s="14"/>
      <c r="H8" s="14"/>
      <c r="I8" s="23" t="s">
        <v>98</v>
      </c>
      <c r="J8" s="23"/>
      <c r="N8" s="14" t="s">
        <v>102</v>
      </c>
      <c r="U8" s="10"/>
      <c r="V8" s="10" t="s">
        <v>102</v>
      </c>
      <c r="W8" s="10">
        <v>40</v>
      </c>
      <c r="X8" s="10">
        <v>35</v>
      </c>
      <c r="Y8" s="10">
        <f t="shared" si="0"/>
        <v>5</v>
      </c>
    </row>
    <row r="9" spans="2:25" x14ac:dyDescent="0.3">
      <c r="M9" s="14" t="s">
        <v>94</v>
      </c>
      <c r="N9" s="14" t="s">
        <v>95</v>
      </c>
      <c r="U9" s="10" t="s">
        <v>94</v>
      </c>
      <c r="V9" s="10" t="s">
        <v>95</v>
      </c>
      <c r="W9" s="10">
        <v>50</v>
      </c>
      <c r="X9" s="10">
        <v>50</v>
      </c>
      <c r="Y9" s="10">
        <f t="shared" si="0"/>
        <v>0</v>
      </c>
    </row>
    <row r="10" spans="2:25" x14ac:dyDescent="0.3">
      <c r="N10" s="14" t="s">
        <v>96</v>
      </c>
      <c r="U10" s="10"/>
      <c r="V10" s="10" t="s">
        <v>96</v>
      </c>
      <c r="W10" s="10">
        <v>55</v>
      </c>
      <c r="X10" s="10">
        <v>50</v>
      </c>
      <c r="Y10" s="10">
        <f t="shared" si="0"/>
        <v>5</v>
      </c>
    </row>
    <row r="11" spans="2:25" x14ac:dyDescent="0.3">
      <c r="M11" s="27" t="s">
        <v>133</v>
      </c>
      <c r="N11" s="14" t="s">
        <v>135</v>
      </c>
      <c r="U11" s="10" t="s">
        <v>133</v>
      </c>
      <c r="V11" s="10" t="s">
        <v>135</v>
      </c>
      <c r="W11" s="10">
        <v>60</v>
      </c>
      <c r="X11" s="10">
        <v>60</v>
      </c>
      <c r="Y11" s="10">
        <f t="shared" si="0"/>
        <v>0</v>
      </c>
    </row>
    <row r="12" spans="2:25" x14ac:dyDescent="0.3">
      <c r="B12" s="14" t="s">
        <v>129</v>
      </c>
      <c r="C12" s="14" t="s">
        <v>32</v>
      </c>
      <c r="D12" s="14" t="s">
        <v>9</v>
      </c>
      <c r="E12" s="14" t="s">
        <v>87</v>
      </c>
      <c r="F12" s="14"/>
      <c r="N12" s="14" t="s">
        <v>135</v>
      </c>
      <c r="U12" s="10"/>
      <c r="V12" s="10" t="s">
        <v>135</v>
      </c>
      <c r="W12" s="10">
        <v>55</v>
      </c>
      <c r="X12" s="10">
        <v>55</v>
      </c>
      <c r="Y12" s="10">
        <f t="shared" si="0"/>
        <v>0</v>
      </c>
    </row>
    <row r="13" spans="2:25" x14ac:dyDescent="0.3">
      <c r="B13" s="14" t="s">
        <v>200</v>
      </c>
      <c r="C13" s="14" t="s">
        <v>32</v>
      </c>
      <c r="D13" s="14" t="s">
        <v>9</v>
      </c>
      <c r="E13" s="14" t="s">
        <v>201</v>
      </c>
      <c r="F13" s="14"/>
      <c r="N13" s="14" t="s">
        <v>135</v>
      </c>
      <c r="U13" s="10"/>
      <c r="V13" s="10" t="s">
        <v>135</v>
      </c>
      <c r="W13" s="10">
        <v>40</v>
      </c>
      <c r="X13" s="10">
        <v>40</v>
      </c>
      <c r="Y13" s="10">
        <f t="shared" si="0"/>
        <v>0</v>
      </c>
    </row>
    <row r="14" spans="2:25" x14ac:dyDescent="0.3">
      <c r="M14" s="27" t="s">
        <v>134</v>
      </c>
      <c r="N14" s="14" t="s">
        <v>135</v>
      </c>
      <c r="U14" s="10" t="s">
        <v>134</v>
      </c>
      <c r="V14" s="10" t="s">
        <v>135</v>
      </c>
      <c r="W14" s="10">
        <v>45</v>
      </c>
      <c r="X14" s="10">
        <v>40</v>
      </c>
      <c r="Y14" s="10">
        <f t="shared" si="0"/>
        <v>5</v>
      </c>
    </row>
    <row r="15" spans="2:25" x14ac:dyDescent="0.3">
      <c r="N15" s="14" t="s">
        <v>135</v>
      </c>
      <c r="U15" s="10"/>
      <c r="V15" s="10" t="s">
        <v>135</v>
      </c>
      <c r="W15" s="10">
        <v>40</v>
      </c>
      <c r="X15" s="10">
        <v>40</v>
      </c>
      <c r="Y15" s="10">
        <f t="shared" si="0"/>
        <v>0</v>
      </c>
    </row>
    <row r="16" spans="2:25" x14ac:dyDescent="0.3">
      <c r="B16" s="14" t="s">
        <v>79</v>
      </c>
      <c r="C16" s="3" t="s">
        <v>202</v>
      </c>
      <c r="N16" s="14" t="s">
        <v>135</v>
      </c>
      <c r="U16" s="10"/>
      <c r="V16" s="10" t="s">
        <v>135</v>
      </c>
      <c r="W16" s="10">
        <v>40</v>
      </c>
      <c r="X16" s="10">
        <v>38</v>
      </c>
      <c r="Y16" s="10">
        <f t="shared" si="0"/>
        <v>2</v>
      </c>
    </row>
    <row r="17" spans="2:25" x14ac:dyDescent="0.3">
      <c r="B17" s="14" t="s">
        <v>80</v>
      </c>
      <c r="C17" s="3" t="s">
        <v>204</v>
      </c>
      <c r="N17" s="14" t="s">
        <v>135</v>
      </c>
      <c r="U17" s="10"/>
      <c r="V17" s="10" t="s">
        <v>135</v>
      </c>
      <c r="W17" s="10">
        <v>20</v>
      </c>
      <c r="X17" s="10">
        <v>20</v>
      </c>
      <c r="Y17" s="10">
        <f t="shared" si="0"/>
        <v>0</v>
      </c>
    </row>
    <row r="18" spans="2:25" x14ac:dyDescent="0.3">
      <c r="B18" s="14" t="s">
        <v>81</v>
      </c>
      <c r="C18" s="3" t="s">
        <v>205</v>
      </c>
      <c r="N18" s="14" t="s">
        <v>135</v>
      </c>
      <c r="U18" s="10"/>
      <c r="V18" s="10" t="s">
        <v>135</v>
      </c>
      <c r="W18" s="10">
        <v>20</v>
      </c>
      <c r="X18" s="10">
        <v>18</v>
      </c>
      <c r="Y18" s="10">
        <f t="shared" si="0"/>
        <v>2</v>
      </c>
    </row>
    <row r="19" spans="2:25" x14ac:dyDescent="0.3">
      <c r="U19" s="14"/>
      <c r="V19" s="14"/>
      <c r="W19" s="14">
        <f>SUM(W5:W18)</f>
        <v>595</v>
      </c>
      <c r="X19" s="14">
        <f>SUM(X5:X18)</f>
        <v>575</v>
      </c>
      <c r="Y19" s="28">
        <f>SUM(Y5:Y18)</f>
        <v>20</v>
      </c>
    </row>
    <row r="20" spans="2:25" x14ac:dyDescent="0.3">
      <c r="O20" s="16" t="s">
        <v>130</v>
      </c>
      <c r="X20" s="16"/>
      <c r="Y20" s="16"/>
    </row>
    <row r="22" spans="2:25" x14ac:dyDescent="0.3">
      <c r="B22" s="52"/>
      <c r="C22" s="52"/>
      <c r="D22" s="52"/>
      <c r="E22" s="52"/>
      <c r="F22" s="52"/>
      <c r="G22" s="52"/>
      <c r="H22" s="52"/>
      <c r="I22" s="52"/>
      <c r="J22" s="52"/>
    </row>
    <row r="23" spans="2:25" x14ac:dyDescent="0.3">
      <c r="B23" s="52"/>
      <c r="C23" s="52"/>
      <c r="D23" s="52"/>
      <c r="E23" s="52"/>
      <c r="F23" s="52"/>
      <c r="G23" s="52"/>
      <c r="H23" s="52"/>
      <c r="I23" s="52"/>
      <c r="J23" s="52"/>
    </row>
    <row r="24" spans="2:25" x14ac:dyDescent="0.3">
      <c r="B24" s="52"/>
      <c r="C24" s="52"/>
      <c r="D24" s="52"/>
      <c r="E24" s="52"/>
      <c r="F24" s="52"/>
      <c r="G24" s="52"/>
      <c r="H24" s="52"/>
      <c r="I24" s="52"/>
      <c r="J24" s="52"/>
      <c r="U24" s="3" t="s">
        <v>139</v>
      </c>
    </row>
    <row r="25" spans="2:25" x14ac:dyDescent="0.3">
      <c r="B25" s="52"/>
      <c r="C25" s="52"/>
      <c r="D25" s="52"/>
      <c r="E25" s="52"/>
      <c r="F25" s="52"/>
      <c r="G25" s="52"/>
      <c r="H25" s="52"/>
      <c r="I25" s="52"/>
      <c r="J25" s="52"/>
    </row>
    <row r="26" spans="2:25" x14ac:dyDescent="0.3">
      <c r="B26" s="15"/>
      <c r="C26" s="15"/>
      <c r="D26" s="15"/>
      <c r="E26" s="15"/>
      <c r="F26" s="15"/>
      <c r="G26" s="15"/>
      <c r="H26" s="15"/>
      <c r="I26" s="30"/>
      <c r="J26" s="15"/>
    </row>
    <row r="27" spans="2:25" x14ac:dyDescent="0.3">
      <c r="B27" s="15"/>
      <c r="C27" s="15"/>
      <c r="D27" s="15"/>
      <c r="E27" s="15"/>
      <c r="F27" s="15"/>
      <c r="G27" s="15"/>
      <c r="H27" s="15"/>
      <c r="I27" s="30"/>
      <c r="J27" s="15"/>
    </row>
    <row r="28" spans="2:25" x14ac:dyDescent="0.3">
      <c r="B28" s="15"/>
      <c r="C28" s="15"/>
      <c r="D28" s="15"/>
      <c r="E28" s="15"/>
      <c r="F28" s="15"/>
      <c r="G28" s="15"/>
      <c r="H28" s="15"/>
      <c r="I28" s="30"/>
      <c r="J28" s="15"/>
    </row>
    <row r="29" spans="2:25" x14ac:dyDescent="0.3">
      <c r="B29" s="15"/>
      <c r="C29" s="15"/>
      <c r="D29" s="15"/>
      <c r="E29" s="15"/>
      <c r="F29" s="15"/>
      <c r="G29" s="15"/>
      <c r="H29" s="15"/>
      <c r="I29" s="30"/>
      <c r="J29" s="15"/>
    </row>
    <row r="30" spans="2:25" x14ac:dyDescent="0.3">
      <c r="B30" s="15"/>
      <c r="C30" s="15"/>
      <c r="D30" s="15"/>
      <c r="E30" s="15"/>
      <c r="F30" s="15"/>
      <c r="G30" s="15"/>
      <c r="H30" s="15"/>
      <c r="I30" s="30"/>
      <c r="J30" s="15"/>
    </row>
  </sheetData>
  <mergeCells count="1">
    <mergeCell ref="Q4:R5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564D-35DA-4847-BCC3-3CA2B8B64102}">
  <dimension ref="A1:AA71"/>
  <sheetViews>
    <sheetView tabSelected="1" workbookViewId="0">
      <selection activeCell="F62" sqref="F62"/>
    </sheetView>
  </sheetViews>
  <sheetFormatPr defaultRowHeight="16.5" x14ac:dyDescent="0.3"/>
  <cols>
    <col min="1" max="1" width="14.125" style="3" customWidth="1"/>
    <col min="2" max="2" width="9" style="3"/>
    <col min="3" max="3" width="13.75" style="3" bestFit="1" customWidth="1"/>
    <col min="4" max="4" width="12.625" style="3" bestFit="1" customWidth="1"/>
    <col min="5" max="5" width="15.375" style="3" bestFit="1" customWidth="1"/>
    <col min="6" max="6" width="12.625" style="3" bestFit="1" customWidth="1"/>
    <col min="7" max="7" width="16.75" style="3" bestFit="1" customWidth="1"/>
    <col min="8" max="8" width="10.5" style="3" bestFit="1" customWidth="1"/>
    <col min="9" max="9" width="14.75" style="3" bestFit="1" customWidth="1"/>
    <col min="10" max="17" width="9" style="3"/>
  </cols>
  <sheetData>
    <row r="1" spans="1:17" x14ac:dyDescent="0.3">
      <c r="A1" s="3" t="s">
        <v>150</v>
      </c>
      <c r="B1" s="3" t="s">
        <v>151</v>
      </c>
    </row>
    <row r="3" spans="1:17" x14ac:dyDescent="0.3">
      <c r="A3" s="3" t="s">
        <v>147</v>
      </c>
    </row>
    <row r="4" spans="1:17" x14ac:dyDescent="0.3">
      <c r="A4" s="54" t="s">
        <v>9</v>
      </c>
      <c r="B4" s="54" t="s">
        <v>142</v>
      </c>
      <c r="C4" s="54"/>
      <c r="D4" s="54" t="s">
        <v>143</v>
      </c>
      <c r="E4" s="54"/>
      <c r="F4" s="54" t="s">
        <v>144</v>
      </c>
      <c r="G4" s="54"/>
      <c r="H4" s="54" t="s">
        <v>145</v>
      </c>
      <c r="I4" s="54"/>
      <c r="J4" s="54" t="s">
        <v>146</v>
      </c>
      <c r="K4" s="54"/>
      <c r="L4" s="55" t="s">
        <v>149</v>
      </c>
      <c r="M4" s="55"/>
    </row>
    <row r="5" spans="1:17" x14ac:dyDescent="0.3">
      <c r="A5" s="54"/>
      <c r="B5" s="10" t="s">
        <v>148</v>
      </c>
      <c r="C5" s="10" t="s">
        <v>152</v>
      </c>
      <c r="D5" s="10" t="s">
        <v>148</v>
      </c>
      <c r="E5" s="10" t="s">
        <v>152</v>
      </c>
      <c r="F5" s="10" t="s">
        <v>148</v>
      </c>
      <c r="G5" s="10" t="s">
        <v>152</v>
      </c>
      <c r="H5" s="10" t="s">
        <v>148</v>
      </c>
      <c r="I5" s="10" t="s">
        <v>152</v>
      </c>
      <c r="J5" s="10" t="s">
        <v>148</v>
      </c>
      <c r="K5" s="10" t="s">
        <v>152</v>
      </c>
      <c r="L5" s="13" t="s">
        <v>148</v>
      </c>
      <c r="M5" s="13" t="s">
        <v>152</v>
      </c>
      <c r="P5"/>
      <c r="Q5"/>
    </row>
    <row r="6" spans="1:17" x14ac:dyDescent="0.3">
      <c r="A6" s="10" t="s">
        <v>85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3"/>
      <c r="M6" s="13"/>
      <c r="P6"/>
      <c r="Q6"/>
    </row>
    <row r="7" spans="1:17" x14ac:dyDescent="0.3">
      <c r="A7" s="10" t="s">
        <v>93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3"/>
      <c r="M7" s="13"/>
      <c r="P7"/>
      <c r="Q7"/>
    </row>
    <row r="8" spans="1:17" x14ac:dyDescent="0.3">
      <c r="A8" s="10" t="s">
        <v>101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P8"/>
      <c r="Q8"/>
    </row>
    <row r="9" spans="1:17" x14ac:dyDescent="0.3">
      <c r="A9" s="10" t="s">
        <v>102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3"/>
      <c r="M9" s="13"/>
      <c r="P9"/>
      <c r="Q9"/>
    </row>
    <row r="10" spans="1:17" x14ac:dyDescent="0.3">
      <c r="A10" s="10" t="s">
        <v>95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3"/>
      <c r="M10" s="13"/>
      <c r="P10"/>
      <c r="Q10"/>
    </row>
    <row r="11" spans="1:17" x14ac:dyDescent="0.3">
      <c r="A11" s="10" t="s">
        <v>96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3"/>
      <c r="M11" s="13"/>
      <c r="P11"/>
      <c r="Q11"/>
    </row>
    <row r="12" spans="1:17" x14ac:dyDescent="0.3">
      <c r="A12" s="10" t="s">
        <v>135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3"/>
      <c r="M12" s="13"/>
      <c r="P12"/>
      <c r="Q12"/>
    </row>
    <row r="13" spans="1:17" x14ac:dyDescent="0.3">
      <c r="A13" s="10" t="s">
        <v>135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3"/>
      <c r="M13" s="13"/>
      <c r="P13"/>
      <c r="Q13"/>
    </row>
    <row r="14" spans="1:17" x14ac:dyDescent="0.3">
      <c r="A14" s="10" t="s">
        <v>135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3"/>
      <c r="M14" s="13"/>
      <c r="P14"/>
      <c r="Q14"/>
    </row>
    <row r="15" spans="1:17" x14ac:dyDescent="0.3">
      <c r="A15" s="10" t="s">
        <v>135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3"/>
      <c r="M15" s="13"/>
      <c r="P15"/>
      <c r="Q15"/>
    </row>
    <row r="16" spans="1:17" x14ac:dyDescent="0.3">
      <c r="A16" s="10" t="s">
        <v>135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3"/>
      <c r="M16" s="13"/>
      <c r="P16"/>
      <c r="Q16"/>
    </row>
    <row r="17" spans="1:27" x14ac:dyDescent="0.3">
      <c r="A17" s="10" t="s">
        <v>135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3"/>
      <c r="M17" s="13"/>
      <c r="P17"/>
      <c r="Q17"/>
    </row>
    <row r="18" spans="1:27" x14ac:dyDescent="0.3">
      <c r="A18" s="10" t="s">
        <v>135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3"/>
      <c r="M18" s="13"/>
      <c r="P18"/>
      <c r="Q18"/>
    </row>
    <row r="19" spans="1:27" x14ac:dyDescent="0.3">
      <c r="A19" s="10" t="s">
        <v>135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3"/>
      <c r="M19" s="13"/>
      <c r="P19"/>
      <c r="Q19"/>
    </row>
    <row r="20" spans="1:27" x14ac:dyDescent="0.3">
      <c r="A20" s="14" t="s">
        <v>149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3"/>
      <c r="M20" s="13">
        <f>SUM(M6:M19)</f>
        <v>0</v>
      </c>
      <c r="P20"/>
      <c r="Q20"/>
    </row>
    <row r="21" spans="1:27" x14ac:dyDescent="0.3">
      <c r="N21" s="16"/>
      <c r="Q21"/>
    </row>
    <row r="23" spans="1:27" x14ac:dyDescent="0.3">
      <c r="A23" s="3" t="s">
        <v>158</v>
      </c>
    </row>
    <row r="24" spans="1:27" x14ac:dyDescent="0.3">
      <c r="A24" s="54" t="s">
        <v>9</v>
      </c>
      <c r="B24" s="54" t="s">
        <v>153</v>
      </c>
      <c r="C24" s="54"/>
      <c r="D24" s="54" t="s">
        <v>154</v>
      </c>
      <c r="E24" s="54"/>
      <c r="F24" s="54" t="s">
        <v>155</v>
      </c>
      <c r="G24" s="54"/>
      <c r="H24" s="54" t="s">
        <v>40</v>
      </c>
      <c r="I24" s="54"/>
      <c r="J24" s="54" t="s">
        <v>41</v>
      </c>
      <c r="K24" s="54"/>
      <c r="L24" s="54" t="s">
        <v>42</v>
      </c>
      <c r="M24" s="54"/>
      <c r="N24" s="54" t="s">
        <v>156</v>
      </c>
      <c r="O24" s="54"/>
      <c r="P24" s="54" t="s">
        <v>157</v>
      </c>
      <c r="Q24" s="54"/>
      <c r="R24" s="54" t="s">
        <v>45</v>
      </c>
      <c r="S24" s="54"/>
      <c r="T24" s="54" t="s">
        <v>46</v>
      </c>
      <c r="U24" s="54"/>
      <c r="V24" s="54" t="s">
        <v>47</v>
      </c>
      <c r="W24" s="54"/>
      <c r="X24" s="54" t="s">
        <v>48</v>
      </c>
      <c r="Y24" s="54"/>
      <c r="Z24" s="55" t="s">
        <v>149</v>
      </c>
      <c r="AA24" s="55"/>
    </row>
    <row r="25" spans="1:27" x14ac:dyDescent="0.3">
      <c r="A25" s="54"/>
      <c r="B25" s="10" t="s">
        <v>148</v>
      </c>
      <c r="C25" s="10" t="s">
        <v>152</v>
      </c>
      <c r="D25" s="10" t="s">
        <v>148</v>
      </c>
      <c r="E25" s="10" t="s">
        <v>152</v>
      </c>
      <c r="F25" s="10" t="s">
        <v>148</v>
      </c>
      <c r="G25" s="10" t="s">
        <v>152</v>
      </c>
      <c r="H25" s="10" t="s">
        <v>148</v>
      </c>
      <c r="I25" s="10" t="s">
        <v>152</v>
      </c>
      <c r="J25" s="10" t="s">
        <v>148</v>
      </c>
      <c r="K25" s="10" t="s">
        <v>152</v>
      </c>
      <c r="L25" s="10" t="s">
        <v>148</v>
      </c>
      <c r="M25" s="10" t="s">
        <v>152</v>
      </c>
      <c r="N25" s="10" t="s">
        <v>148</v>
      </c>
      <c r="O25" s="10" t="s">
        <v>152</v>
      </c>
      <c r="P25" s="10" t="s">
        <v>148</v>
      </c>
      <c r="Q25" s="10" t="s">
        <v>152</v>
      </c>
      <c r="R25" s="10" t="s">
        <v>148</v>
      </c>
      <c r="S25" s="10" t="s">
        <v>152</v>
      </c>
      <c r="T25" s="10" t="s">
        <v>148</v>
      </c>
      <c r="U25" s="10" t="s">
        <v>152</v>
      </c>
      <c r="V25" s="10" t="s">
        <v>148</v>
      </c>
      <c r="W25" s="10" t="s">
        <v>152</v>
      </c>
      <c r="X25" s="10" t="s">
        <v>148</v>
      </c>
      <c r="Y25" s="10" t="s">
        <v>152</v>
      </c>
      <c r="Z25" s="13" t="s">
        <v>148</v>
      </c>
      <c r="AA25" s="13" t="s">
        <v>152</v>
      </c>
    </row>
    <row r="26" spans="1:27" x14ac:dyDescent="0.3">
      <c r="A26" s="10" t="s">
        <v>85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3"/>
      <c r="AA26" s="13"/>
    </row>
    <row r="27" spans="1:27" x14ac:dyDescent="0.3">
      <c r="A27" s="10" t="s">
        <v>93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3"/>
      <c r="AA27" s="13"/>
    </row>
    <row r="28" spans="1:27" x14ac:dyDescent="0.3">
      <c r="A28" s="10" t="s">
        <v>101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3"/>
      <c r="AA28" s="13"/>
    </row>
    <row r="29" spans="1:27" x14ac:dyDescent="0.3">
      <c r="A29" s="10" t="s">
        <v>102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3"/>
      <c r="AA29" s="13"/>
    </row>
    <row r="30" spans="1:27" x14ac:dyDescent="0.3">
      <c r="A30" s="10" t="s">
        <v>95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3"/>
      <c r="AA30" s="13"/>
    </row>
    <row r="31" spans="1:27" x14ac:dyDescent="0.3">
      <c r="A31" s="10" t="s">
        <v>96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3"/>
      <c r="AA31" s="13"/>
    </row>
    <row r="32" spans="1:27" x14ac:dyDescent="0.3">
      <c r="A32" s="10" t="s">
        <v>135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3"/>
      <c r="AA32" s="13"/>
    </row>
    <row r="33" spans="1:27" x14ac:dyDescent="0.3">
      <c r="A33" s="10" t="s">
        <v>135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3"/>
      <c r="AA33" s="13"/>
    </row>
    <row r="34" spans="1:27" x14ac:dyDescent="0.3">
      <c r="A34" s="10" t="s">
        <v>135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3"/>
      <c r="AA34" s="13"/>
    </row>
    <row r="35" spans="1:27" x14ac:dyDescent="0.3">
      <c r="A35" s="10" t="s">
        <v>135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3"/>
      <c r="AA35" s="13"/>
    </row>
    <row r="36" spans="1:27" x14ac:dyDescent="0.3">
      <c r="A36" s="10" t="s">
        <v>135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3"/>
      <c r="AA36" s="13"/>
    </row>
    <row r="37" spans="1:27" x14ac:dyDescent="0.3">
      <c r="A37" s="10" t="s">
        <v>135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3"/>
      <c r="AA37" s="13"/>
    </row>
    <row r="38" spans="1:27" x14ac:dyDescent="0.3">
      <c r="A38" s="10" t="s">
        <v>135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3"/>
      <c r="AA38" s="13"/>
    </row>
    <row r="39" spans="1:27" x14ac:dyDescent="0.3">
      <c r="A39" s="10" t="s">
        <v>135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3"/>
      <c r="AA39" s="13"/>
    </row>
    <row r="40" spans="1:27" x14ac:dyDescent="0.3">
      <c r="A40" s="14" t="s">
        <v>149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3"/>
      <c r="AA40" s="13">
        <f>SUM(AA26:AA39)</f>
        <v>0</v>
      </c>
    </row>
    <row r="42" spans="1:27" x14ac:dyDescent="0.3">
      <c r="A42" s="3" t="s">
        <v>198</v>
      </c>
    </row>
    <row r="43" spans="1:27" x14ac:dyDescent="0.3">
      <c r="A43" s="54" t="s">
        <v>9</v>
      </c>
      <c r="B43" s="66">
        <v>45659</v>
      </c>
      <c r="C43" s="54"/>
    </row>
    <row r="44" spans="1:27" x14ac:dyDescent="0.3">
      <c r="A44" s="54"/>
      <c r="B44" s="10" t="s">
        <v>148</v>
      </c>
      <c r="C44" s="10" t="s">
        <v>152</v>
      </c>
    </row>
    <row r="45" spans="1:27" x14ac:dyDescent="0.3">
      <c r="A45" s="10" t="s">
        <v>85</v>
      </c>
      <c r="B45" s="10"/>
      <c r="C45" s="10"/>
    </row>
    <row r="46" spans="1:27" x14ac:dyDescent="0.3">
      <c r="A46" s="10" t="s">
        <v>93</v>
      </c>
      <c r="B46" s="10"/>
      <c r="C46" s="10"/>
    </row>
    <row r="47" spans="1:27" x14ac:dyDescent="0.3">
      <c r="A47" s="10" t="s">
        <v>101</v>
      </c>
      <c r="B47" s="10"/>
      <c r="C47" s="10"/>
    </row>
    <row r="48" spans="1:27" x14ac:dyDescent="0.3">
      <c r="A48" s="10" t="s">
        <v>102</v>
      </c>
      <c r="B48" s="10"/>
      <c r="C48" s="10"/>
    </row>
    <row r="49" spans="1:9" x14ac:dyDescent="0.3">
      <c r="A49" s="10" t="s">
        <v>95</v>
      </c>
      <c r="B49" s="10"/>
      <c r="C49" s="10"/>
    </row>
    <row r="50" spans="1:9" x14ac:dyDescent="0.3">
      <c r="A50" s="10" t="s">
        <v>96</v>
      </c>
      <c r="B50" s="10"/>
      <c r="C50" s="10"/>
    </row>
    <row r="51" spans="1:9" x14ac:dyDescent="0.3">
      <c r="A51" s="10" t="s">
        <v>135</v>
      </c>
      <c r="B51" s="10"/>
      <c r="C51" s="10"/>
    </row>
    <row r="52" spans="1:9" x14ac:dyDescent="0.3">
      <c r="A52" s="10" t="s">
        <v>135</v>
      </c>
      <c r="B52" s="10"/>
      <c r="C52" s="10"/>
    </row>
    <row r="53" spans="1:9" x14ac:dyDescent="0.3">
      <c r="A53" s="10" t="s">
        <v>135</v>
      </c>
      <c r="B53" s="10"/>
      <c r="C53" s="10"/>
    </row>
    <row r="54" spans="1:9" x14ac:dyDescent="0.3">
      <c r="A54" s="10" t="s">
        <v>135</v>
      </c>
      <c r="B54" s="10"/>
      <c r="C54" s="10"/>
    </row>
    <row r="55" spans="1:9" x14ac:dyDescent="0.3">
      <c r="A55" s="10" t="s">
        <v>135</v>
      </c>
      <c r="B55" s="10"/>
      <c r="C55" s="10"/>
    </row>
    <row r="56" spans="1:9" x14ac:dyDescent="0.3">
      <c r="A56" s="10" t="s">
        <v>135</v>
      </c>
      <c r="B56" s="10"/>
      <c r="C56" s="10"/>
    </row>
    <row r="57" spans="1:9" x14ac:dyDescent="0.3">
      <c r="A57" s="10" t="s">
        <v>135</v>
      </c>
      <c r="B57" s="10"/>
      <c r="C57" s="10"/>
    </row>
    <row r="58" spans="1:9" x14ac:dyDescent="0.3">
      <c r="A58" s="10" t="s">
        <v>135</v>
      </c>
      <c r="B58" s="10"/>
      <c r="C58" s="10"/>
    </row>
    <row r="59" spans="1:9" x14ac:dyDescent="0.3">
      <c r="A59" s="14" t="s">
        <v>149</v>
      </c>
      <c r="B59" s="14"/>
      <c r="C59" s="14"/>
    </row>
    <row r="61" spans="1:9" x14ac:dyDescent="0.3">
      <c r="A61" s="1" t="s">
        <v>206</v>
      </c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4" t="s">
        <v>32</v>
      </c>
      <c r="B62" s="14" t="s">
        <v>9</v>
      </c>
      <c r="C62" s="14" t="s">
        <v>10</v>
      </c>
      <c r="D62" s="14" t="s">
        <v>208</v>
      </c>
      <c r="E62" s="14" t="s">
        <v>203</v>
      </c>
      <c r="F62" s="14" t="s">
        <v>80</v>
      </c>
      <c r="G62" s="14" t="s">
        <v>81</v>
      </c>
      <c r="H62" s="14" t="s">
        <v>82</v>
      </c>
      <c r="I62" s="14" t="s">
        <v>199</v>
      </c>
    </row>
    <row r="63" spans="1:9" x14ac:dyDescent="0.3">
      <c r="A63" s="14" t="s">
        <v>84</v>
      </c>
      <c r="B63" s="14" t="s">
        <v>85</v>
      </c>
      <c r="C63" s="14" t="s">
        <v>58</v>
      </c>
      <c r="D63" s="14" t="s">
        <v>86</v>
      </c>
      <c r="E63" s="23" t="s">
        <v>98</v>
      </c>
      <c r="F63" s="24"/>
      <c r="G63" s="24"/>
      <c r="H63" s="24"/>
      <c r="I63" s="24"/>
    </row>
    <row r="64" spans="1:9" x14ac:dyDescent="0.3">
      <c r="A64" s="14" t="s">
        <v>84</v>
      </c>
      <c r="B64" s="14" t="s">
        <v>93</v>
      </c>
      <c r="C64" s="14" t="s">
        <v>58</v>
      </c>
      <c r="D64" s="14" t="s">
        <v>86</v>
      </c>
      <c r="E64" s="24"/>
      <c r="F64" s="24"/>
      <c r="G64" s="24"/>
      <c r="H64" s="24"/>
      <c r="I64" s="23" t="s">
        <v>98</v>
      </c>
    </row>
    <row r="65" spans="1:9" x14ac:dyDescent="0.3">
      <c r="A65" s="14" t="s">
        <v>84</v>
      </c>
      <c r="B65" s="14" t="s">
        <v>101</v>
      </c>
      <c r="C65" s="14" t="s">
        <v>58</v>
      </c>
      <c r="D65" s="14" t="s">
        <v>86</v>
      </c>
      <c r="E65" s="14"/>
      <c r="F65" s="23" t="s">
        <v>98</v>
      </c>
      <c r="G65" s="23"/>
      <c r="H65" s="14"/>
      <c r="I65" s="14"/>
    </row>
    <row r="66" spans="1:9" x14ac:dyDescent="0.3">
      <c r="A66" s="14" t="s">
        <v>84</v>
      </c>
      <c r="B66" s="14" t="s">
        <v>102</v>
      </c>
      <c r="C66" s="14" t="s">
        <v>58</v>
      </c>
      <c r="D66" s="14" t="s">
        <v>86</v>
      </c>
      <c r="E66" s="14"/>
      <c r="F66" s="14"/>
      <c r="G66" s="14"/>
      <c r="H66" s="23"/>
      <c r="I66" s="23"/>
    </row>
    <row r="67" spans="1:9" x14ac:dyDescent="0.3">
      <c r="A67" s="14" t="s">
        <v>84</v>
      </c>
      <c r="B67" s="14" t="s">
        <v>95</v>
      </c>
      <c r="C67" s="14" t="s">
        <v>58</v>
      </c>
      <c r="D67" s="14" t="s">
        <v>86</v>
      </c>
      <c r="E67" s="14"/>
      <c r="F67" s="14"/>
      <c r="G67" s="23" t="s">
        <v>98</v>
      </c>
      <c r="H67" s="14"/>
      <c r="I67" s="14"/>
    </row>
    <row r="68" spans="1:9" x14ac:dyDescent="0.3">
      <c r="A68" s="14" t="s">
        <v>84</v>
      </c>
      <c r="B68" s="14" t="s">
        <v>96</v>
      </c>
      <c r="C68" s="14" t="s">
        <v>58</v>
      </c>
      <c r="D68" s="14" t="s">
        <v>86</v>
      </c>
      <c r="E68" s="14"/>
      <c r="F68" s="14"/>
      <c r="G68" s="14"/>
      <c r="H68" s="23" t="s">
        <v>98</v>
      </c>
      <c r="I68" s="23"/>
    </row>
    <row r="71" spans="1:9" x14ac:dyDescent="0.3">
      <c r="A71" s="3" t="s">
        <v>207</v>
      </c>
    </row>
  </sheetData>
  <mergeCells count="23">
    <mergeCell ref="L4:M4"/>
    <mergeCell ref="A24:A25"/>
    <mergeCell ref="B24:C24"/>
    <mergeCell ref="D24:E24"/>
    <mergeCell ref="F24:G24"/>
    <mergeCell ref="H24:I24"/>
    <mergeCell ref="J24:K24"/>
    <mergeCell ref="L24:M24"/>
    <mergeCell ref="B4:C4"/>
    <mergeCell ref="D4:E4"/>
    <mergeCell ref="F4:G4"/>
    <mergeCell ref="H4:I4"/>
    <mergeCell ref="J4:K4"/>
    <mergeCell ref="A4:A5"/>
    <mergeCell ref="Z24:AA24"/>
    <mergeCell ref="A43:A44"/>
    <mergeCell ref="B43:C43"/>
    <mergeCell ref="N24:O24"/>
    <mergeCell ref="P24:Q24"/>
    <mergeCell ref="R24:S24"/>
    <mergeCell ref="T24:U24"/>
    <mergeCell ref="V24:W24"/>
    <mergeCell ref="X24:Y2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관리자</vt:lpstr>
      <vt:lpstr>지사</vt:lpstr>
      <vt:lpstr>배송기사(중상)</vt:lpstr>
      <vt:lpstr>프렌차이즈 본사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유형곤</dc:creator>
  <cp:lastModifiedBy>유형곤</cp:lastModifiedBy>
  <dcterms:created xsi:type="dcterms:W3CDTF">2025-12-15T04:47:28Z</dcterms:created>
  <dcterms:modified xsi:type="dcterms:W3CDTF">2025-12-16T05:46:17Z</dcterms:modified>
</cp:coreProperties>
</file>